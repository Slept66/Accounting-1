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7/"/>
    </mc:Choice>
  </mc:AlternateContent>
  <xr:revisionPtr revIDLastSave="160" documentId="8_{CD96ECC0-348E-40EA-A326-D8A72B960C86}" xr6:coauthVersionLast="47" xr6:coauthVersionMax="47" xr10:uidLastSave="{81C7F028-EC37-4B4D-8BEA-CED1E6D18382}"/>
  <bookViews>
    <workbookView xWindow="-110" yWindow="-110" windowWidth="19420" windowHeight="10420" activeTab="1" xr2:uid="{00000000-000D-0000-FFFF-FFFF00000000}"/>
  </bookViews>
  <sheets>
    <sheet name="Work Sheets" sheetId="8" r:id="rId1"/>
    <sheet name="Balance Sheets" sheetId="11" r:id="rId2"/>
  </sheets>
  <definedNames>
    <definedName name="_xlnm.Print_Area" localSheetId="0">'Work Sheets'!$A$1:$H$54</definedName>
    <definedName name="_xlnm.Print_Titles" localSheetId="0">'Work Sheets'!$A:$B,'Work Sheets'!$1:$9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7" i="11" l="1"/>
  <c r="C35" i="11"/>
  <c r="D33" i="11"/>
  <c r="D32" i="11"/>
  <c r="D31" i="11"/>
  <c r="C32" i="11"/>
  <c r="C31" i="11"/>
  <c r="B37" i="11"/>
  <c r="B36" i="11"/>
  <c r="B35" i="11"/>
  <c r="B34" i="11"/>
  <c r="B33" i="11"/>
  <c r="B32" i="11"/>
  <c r="B31" i="11"/>
  <c r="A36" i="11"/>
  <c r="A35" i="11"/>
  <c r="A34" i="11"/>
  <c r="A33" i="11"/>
  <c r="A32" i="11"/>
  <c r="A31" i="11"/>
  <c r="D15" i="11"/>
  <c r="C13" i="11"/>
  <c r="A26" i="11"/>
  <c r="D11" i="11"/>
  <c r="D10" i="11"/>
  <c r="D9" i="11"/>
  <c r="C10" i="11"/>
  <c r="C9" i="11"/>
  <c r="B15" i="11"/>
  <c r="B14" i="11"/>
  <c r="B13" i="11"/>
  <c r="B12" i="11"/>
  <c r="B11" i="11"/>
  <c r="B10" i="11"/>
  <c r="B9" i="11"/>
  <c r="A14" i="11"/>
  <c r="A13" i="11"/>
  <c r="A12" i="11"/>
  <c r="A11" i="11"/>
  <c r="A10" i="11"/>
  <c r="A9" i="11"/>
  <c r="A5" i="11"/>
  <c r="A4" i="11"/>
  <c r="C52" i="11"/>
  <c r="E50" i="8"/>
  <c r="D50" i="8"/>
  <c r="E51" i="8"/>
  <c r="F40" i="8"/>
  <c r="F41" i="8" s="1"/>
  <c r="F42" i="8" s="1"/>
  <c r="F43" i="8" s="1"/>
  <c r="F44" i="8" s="1"/>
  <c r="F45" i="8" s="1"/>
  <c r="F46" i="8" s="1"/>
  <c r="F47" i="8" s="1"/>
  <c r="F48" i="8" s="1"/>
  <c r="A40" i="8"/>
  <c r="A41" i="8"/>
  <c r="A42" i="8"/>
  <c r="A43" i="8"/>
  <c r="A44" i="8" s="1"/>
  <c r="A45" i="8" s="1"/>
  <c r="A46" i="8" s="1"/>
  <c r="A47" i="8" s="1"/>
  <c r="A48" i="8" s="1"/>
  <c r="E22" i="8"/>
  <c r="D22" i="8"/>
  <c r="F12" i="8"/>
  <c r="F13" i="8" s="1"/>
  <c r="F14" i="8" s="1"/>
  <c r="F15" i="8" s="1"/>
  <c r="F16" i="8" s="1"/>
  <c r="F17" i="8" s="1"/>
  <c r="F18" i="8" s="1"/>
  <c r="F19" i="8" s="1"/>
  <c r="F20" i="8" s="1"/>
  <c r="A12" i="8"/>
  <c r="A13" i="8"/>
  <c r="A14" i="8"/>
  <c r="A15" i="8"/>
  <c r="A16" i="8" s="1"/>
  <c r="A17" i="8" s="1"/>
  <c r="A18" i="8" s="1"/>
  <c r="A19" i="8" s="1"/>
  <c r="A20" i="8" s="1"/>
  <c r="D52" i="8"/>
  <c r="D24" i="8"/>
  <c r="E52" i="8"/>
  <c r="E23" i="8"/>
  <c r="E24" i="8" s="1"/>
</calcChain>
</file>

<file path=xl/sharedStrings.xml><?xml version="1.0" encoding="utf-8"?>
<sst xmlns="http://schemas.openxmlformats.org/spreadsheetml/2006/main" count="80" uniqueCount="56">
  <si>
    <t>Accounting 1 work together 7-2</t>
  </si>
  <si>
    <t>page 205, textbook</t>
  </si>
  <si>
    <t xml:space="preserve"> </t>
  </si>
  <si>
    <t>All Pro Painters</t>
  </si>
  <si>
    <t>DO NOT PRINT THIS SHEET</t>
  </si>
  <si>
    <t>Work Sheet</t>
  </si>
  <si>
    <t>For the Month Ended April 30, 200-</t>
  </si>
  <si>
    <t>BALANCE SHEET</t>
  </si>
  <si>
    <t>DEBIT</t>
  </si>
  <si>
    <t>CREDIT</t>
  </si>
  <si>
    <t>ACCOUNT TITLE</t>
  </si>
  <si>
    <t>Cash</t>
  </si>
  <si>
    <t>Petty Cash</t>
  </si>
  <si>
    <t>A/R - G. Mackerman</t>
  </si>
  <si>
    <t>A/R - R. Whu</t>
  </si>
  <si>
    <t>Supplies</t>
  </si>
  <si>
    <t>Prepaid Insurance</t>
  </si>
  <si>
    <t>A/P - Belmont Supplies</t>
  </si>
  <si>
    <t>A/P - Lugert Paints</t>
  </si>
  <si>
    <t>Dwight Sundeen, Capital</t>
  </si>
  <si>
    <t>Dwight Sundeen, Drawing</t>
  </si>
  <si>
    <t>Net Income</t>
  </si>
  <si>
    <t>Accounting 1 on your own 7-2</t>
  </si>
  <si>
    <t>A-1 Computer Repair</t>
  </si>
  <si>
    <t>For the Month Ended October 31, 200-</t>
  </si>
  <si>
    <t>A/R - Sunshine Café</t>
  </si>
  <si>
    <t>A/R - Dependable Cleaners</t>
  </si>
  <si>
    <t>A/P - Computer Supplies Co.</t>
  </si>
  <si>
    <t>A/P - Westside Supplies</t>
  </si>
  <si>
    <t>Eva Nelson, Capital</t>
  </si>
  <si>
    <t>Eva Nelson, Drawing</t>
  </si>
  <si>
    <t>Name:</t>
  </si>
  <si>
    <t xml:space="preserve">page 205, textbook </t>
  </si>
  <si>
    <t xml:space="preserve">page 205, textbook  </t>
  </si>
  <si>
    <t>Dicks Sporting Goods</t>
  </si>
  <si>
    <t>Fiscal Year Ended Jan 30, 2021</t>
  </si>
  <si>
    <t>Annual Report</t>
  </si>
  <si>
    <t>(Reported in Thousands)</t>
  </si>
  <si>
    <t>Total Assets</t>
  </si>
  <si>
    <t>Total Current Liabilities</t>
  </si>
  <si>
    <t>Total Long-Term Liabilities</t>
  </si>
  <si>
    <t>Total Stockholder's Equity</t>
  </si>
  <si>
    <t>Current Liabilities, Long-Term Liabilities, and</t>
  </si>
  <si>
    <t>Stockholder's Equity Total</t>
  </si>
  <si>
    <t>WHERE IS IT?</t>
  </si>
  <si>
    <t>WHAT PAGE?</t>
  </si>
  <si>
    <t>TEAMS Assignment</t>
  </si>
  <si>
    <t>Page 54 of PDF</t>
  </si>
  <si>
    <t>Dhruv Patil</t>
  </si>
  <si>
    <t xml:space="preserve">Assests </t>
  </si>
  <si>
    <t>Liabilities</t>
  </si>
  <si>
    <t xml:space="preserve">Total Assests </t>
  </si>
  <si>
    <t>Total Liabilities</t>
  </si>
  <si>
    <t>Owners Equity</t>
  </si>
  <si>
    <t>Total Liabilities &amp; Owners Equity</t>
  </si>
  <si>
    <t>Balance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</si>
</sst>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mmmm\ d\,\ yyyy;@"/>
    <numFmt numFmtId="165" formatCode="&quot;$&quot;#,##0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6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7" fillId="0" borderId="3" xfId="0" applyFont="1" applyBorder="1"/>
    <xf numFmtId="0" fontId="7" fillId="0" borderId="0" xfId="0" applyFont="1"/>
    <xf numFmtId="0" fontId="8" fillId="0" borderId="4" xfId="0" applyFont="1" applyBorder="1"/>
    <xf numFmtId="0" fontId="8" fillId="0" borderId="5" xfId="0" applyFont="1" applyBorder="1" applyAlignment="1">
      <alignment horizontal="center"/>
    </xf>
    <xf numFmtId="0" fontId="8" fillId="0" borderId="0" xfId="0" applyFont="1"/>
    <xf numFmtId="0" fontId="8" fillId="0" borderId="9" xfId="0" applyFont="1" applyBorder="1"/>
    <xf numFmtId="0" fontId="8" fillId="0" borderId="10" xfId="0" applyFont="1" applyBorder="1" applyAlignment="1">
      <alignment horizontal="center"/>
    </xf>
    <xf numFmtId="0" fontId="7" fillId="0" borderId="13" xfId="0" applyFont="1" applyBorder="1"/>
    <xf numFmtId="0" fontId="9" fillId="0" borderId="15" xfId="0" applyFont="1" applyBorder="1"/>
    <xf numFmtId="43" fontId="9" fillId="0" borderId="15" xfId="1" applyFont="1" applyBorder="1"/>
    <xf numFmtId="43" fontId="9" fillId="0" borderId="16" xfId="1" applyFont="1" applyBorder="1"/>
    <xf numFmtId="0" fontId="9" fillId="0" borderId="17" xfId="0" applyFont="1" applyBorder="1"/>
    <xf numFmtId="43" fontId="9" fillId="0" borderId="17" xfId="1" applyFont="1" applyBorder="1"/>
    <xf numFmtId="43" fontId="9" fillId="0" borderId="18" xfId="1" applyFont="1" applyBorder="1"/>
    <xf numFmtId="0" fontId="9" fillId="0" borderId="19" xfId="0" applyFont="1" applyBorder="1"/>
    <xf numFmtId="43" fontId="9" fillId="0" borderId="20" xfId="1" applyFont="1" applyBorder="1"/>
    <xf numFmtId="43" fontId="9" fillId="0" borderId="21" xfId="1" applyFont="1" applyBorder="1"/>
    <xf numFmtId="43" fontId="9" fillId="0" borderId="22" xfId="1" applyFont="1" applyBorder="1"/>
    <xf numFmtId="43" fontId="9" fillId="0" borderId="23" xfId="1" applyFont="1" applyBorder="1"/>
    <xf numFmtId="43" fontId="9" fillId="0" borderId="24" xfId="1" applyFont="1" applyBorder="1"/>
    <xf numFmtId="0" fontId="6" fillId="0" borderId="0" xfId="0" applyFont="1"/>
    <xf numFmtId="0" fontId="7" fillId="0" borderId="25" xfId="0" applyFont="1" applyBorder="1"/>
    <xf numFmtId="0" fontId="9" fillId="0" borderId="25" xfId="0" applyFont="1" applyBorder="1"/>
    <xf numFmtId="43" fontId="9" fillId="0" borderId="25" xfId="1" applyFont="1" applyBorder="1"/>
    <xf numFmtId="0" fontId="10" fillId="0" borderId="3" xfId="0" applyFont="1" applyBorder="1" applyAlignment="1">
      <alignment horizontal="center"/>
    </xf>
    <xf numFmtId="0" fontId="10" fillId="0" borderId="0" xfId="0" applyFont="1"/>
    <xf numFmtId="43" fontId="9" fillId="0" borderId="0" xfId="1" applyFont="1" applyBorder="1"/>
    <xf numFmtId="43" fontId="9" fillId="0" borderId="5" xfId="1" applyFont="1" applyBorder="1"/>
    <xf numFmtId="0" fontId="9" fillId="0" borderId="29" xfId="0" applyFont="1" applyBorder="1"/>
    <xf numFmtId="43" fontId="9" fillId="0" borderId="30" xfId="1" applyFont="1" applyBorder="1"/>
    <xf numFmtId="43" fontId="9" fillId="0" borderId="31" xfId="1" applyFont="1" applyBorder="1"/>
    <xf numFmtId="0" fontId="7" fillId="0" borderId="2" xfId="0" applyFont="1" applyBorder="1"/>
    <xf numFmtId="0" fontId="9" fillId="0" borderId="1" xfId="0" applyFont="1" applyBorder="1"/>
    <xf numFmtId="43" fontId="9" fillId="0" borderId="32" xfId="1" applyFont="1" applyBorder="1"/>
    <xf numFmtId="43" fontId="9" fillId="0" borderId="33" xfId="1" applyFont="1" applyBorder="1"/>
    <xf numFmtId="0" fontId="4" fillId="0" borderId="16" xfId="0" applyFont="1" applyBorder="1" applyAlignment="1">
      <alignment horizontal="left"/>
    </xf>
    <xf numFmtId="43" fontId="4" fillId="0" borderId="28" xfId="1" applyFont="1" applyBorder="1" applyAlignment="1">
      <alignment horizontal="left"/>
    </xf>
    <xf numFmtId="43" fontId="4" fillId="0" borderId="26" xfId="1" applyFont="1" applyBorder="1" applyAlignment="1">
      <alignment horizontal="left"/>
    </xf>
    <xf numFmtId="0" fontId="4" fillId="0" borderId="26" xfId="2" applyNumberFormat="1" applyFont="1" applyBorder="1" applyAlignment="1">
      <alignment horizontal="left"/>
    </xf>
    <xf numFmtId="0" fontId="4" fillId="0" borderId="26" xfId="1" applyNumberFormat="1" applyFont="1" applyBorder="1" applyAlignment="1">
      <alignment horizontal="left"/>
    </xf>
    <xf numFmtId="43" fontId="4" fillId="0" borderId="26" xfId="2" applyNumberFormat="1" applyFont="1" applyBorder="1" applyAlignment="1">
      <alignment horizontal="left"/>
    </xf>
    <xf numFmtId="0" fontId="4" fillId="0" borderId="27" xfId="1" applyNumberFormat="1" applyFont="1" applyBorder="1" applyAlignment="1">
      <alignment horizontal="left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5" fontId="0" fillId="2" borderId="38" xfId="0" applyNumberFormat="1" applyFill="1" applyBorder="1" applyAlignment="1">
      <alignment horizontal="center"/>
    </xf>
    <xf numFmtId="165" fontId="0" fillId="2" borderId="40" xfId="0" applyNumberFormat="1" applyFill="1" applyBorder="1" applyAlignment="1">
      <alignment horizontal="center"/>
    </xf>
    <xf numFmtId="165" fontId="0" fillId="2" borderId="41" xfId="0" applyNumberForma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1" fillId="0" borderId="1" xfId="0" applyFont="1" applyBorder="1"/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0" xfId="0" applyFont="1" applyAlignment="1">
      <alignment horizontal="centerContinuous"/>
    </xf>
    <xf numFmtId="0" fontId="8" fillId="0" borderId="6" xfId="0" applyFont="1" applyBorder="1" applyAlignment="1">
      <alignment horizontal="centerContinuous"/>
    </xf>
    <xf numFmtId="0" fontId="8" fillId="0" borderId="7" xfId="0" applyFont="1" applyBorder="1" applyAlignment="1">
      <alignment horizontal="centerContinuous"/>
    </xf>
    <xf numFmtId="0" fontId="8" fillId="0" borderId="8" xfId="0" applyFont="1" applyBorder="1"/>
    <xf numFmtId="0" fontId="8" fillId="0" borderId="11" xfId="0" applyFont="1" applyBorder="1"/>
    <xf numFmtId="0" fontId="7" fillId="0" borderId="1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4" fillId="0" borderId="16" xfId="0" applyFont="1" applyBorder="1" applyAlignment="1">
      <alignment horizontal="left" indent="1"/>
    </xf>
    <xf numFmtId="0" fontId="4" fillId="0" borderId="26" xfId="0" applyFont="1" applyBorder="1" applyAlignment="1">
      <alignment horizontal="left"/>
    </xf>
    <xf numFmtId="0" fontId="4" fillId="0" borderId="26" xfId="0" applyFont="1" applyBorder="1"/>
    <xf numFmtId="0" fontId="4" fillId="0" borderId="26" xfId="2" applyNumberFormat="1" applyFont="1" applyBorder="1"/>
    <xf numFmtId="0" fontId="4" fillId="0" borderId="26" xfId="1" applyNumberFormat="1" applyFont="1" applyBorder="1"/>
    <xf numFmtId="0" fontId="4" fillId="0" borderId="27" xfId="1" applyNumberFormat="1" applyFont="1" applyBorder="1"/>
    <xf numFmtId="0" fontId="1" fillId="2" borderId="1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3" fontId="4" fillId="0" borderId="44" xfId="1" applyFont="1" applyBorder="1" applyAlignment="1">
      <alignment horizontal="left"/>
    </xf>
    <xf numFmtId="0" fontId="6" fillId="0" borderId="26" xfId="1" applyNumberFormat="1" applyFont="1" applyBorder="1" applyAlignment="1">
      <alignment horizontal="center"/>
    </xf>
    <xf numFmtId="43" fontId="6" fillId="0" borderId="26" xfId="1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43" fontId="4" fillId="0" borderId="44" xfId="2" applyNumberFormat="1" applyFont="1" applyBorder="1" applyAlignment="1">
      <alignment horizontal="left"/>
    </xf>
    <xf numFmtId="0" fontId="4" fillId="0" borderId="12" xfId="1" applyNumberFormat="1" applyFont="1" applyBorder="1" applyAlignment="1">
      <alignment horizontal="left"/>
    </xf>
    <xf numFmtId="43" fontId="4" fillId="0" borderId="46" xfId="2" applyNumberFormat="1" applyFont="1" applyBorder="1" applyAlignment="1">
      <alignment horizontal="left"/>
    </xf>
    <xf numFmtId="0" fontId="4" fillId="0" borderId="45" xfId="2" applyNumberFormat="1" applyFont="1" applyBorder="1" applyAlignment="1">
      <alignment horizontal="left"/>
    </xf>
    <xf numFmtId="165" fontId="1" fillId="2" borderId="39" xfId="0" applyNumberFormat="1" applyFont="1" applyFill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165" fontId="0" fillId="0" borderId="42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45</xdr:row>
      <xdr:rowOff>47624</xdr:rowOff>
    </xdr:from>
    <xdr:to>
      <xdr:col>1</xdr:col>
      <xdr:colOff>781050</xdr:colOff>
      <xdr:row>45</xdr:row>
      <xdr:rowOff>122681</xdr:rowOff>
    </xdr:to>
    <xdr:sp macro="" textlink="">
      <xdr:nvSpPr>
        <xdr:cNvPr id="2" name="Strip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90800" y="8267699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76200</xdr:colOff>
      <xdr:row>46</xdr:row>
      <xdr:rowOff>47625</xdr:rowOff>
    </xdr:from>
    <xdr:to>
      <xdr:col>1</xdr:col>
      <xdr:colOff>781050</xdr:colOff>
      <xdr:row>46</xdr:row>
      <xdr:rowOff>122682</xdr:rowOff>
    </xdr:to>
    <xdr:sp macro="" textlink="">
      <xdr:nvSpPr>
        <xdr:cNvPr id="3" name="Striped 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90800" y="8429625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76200</xdr:colOff>
      <xdr:row>47</xdr:row>
      <xdr:rowOff>57150</xdr:rowOff>
    </xdr:from>
    <xdr:to>
      <xdr:col>1</xdr:col>
      <xdr:colOff>781050</xdr:colOff>
      <xdr:row>47</xdr:row>
      <xdr:rowOff>132207</xdr:rowOff>
    </xdr:to>
    <xdr:sp macro="" textlink="">
      <xdr:nvSpPr>
        <xdr:cNvPr id="4" name="Striped Righ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90800" y="8601075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66675</xdr:colOff>
      <xdr:row>45</xdr:row>
      <xdr:rowOff>38100</xdr:rowOff>
    </xdr:from>
    <xdr:to>
      <xdr:col>1</xdr:col>
      <xdr:colOff>771525</xdr:colOff>
      <xdr:row>45</xdr:row>
      <xdr:rowOff>113157</xdr:rowOff>
    </xdr:to>
    <xdr:sp macro="" textlink="">
      <xdr:nvSpPr>
        <xdr:cNvPr id="5" name="Striped Right Arrow 1">
          <a:extLst>
            <a:ext uri="{FF2B5EF4-FFF2-40B4-BE49-F238E27FC236}">
              <a16:creationId xmlns:a16="http://schemas.microsoft.com/office/drawing/2014/main" id="{64A7FCF6-E108-402C-BF28-8709EC051571}"/>
            </a:ext>
          </a:extLst>
        </xdr:cNvPr>
        <xdr:cNvSpPr/>
      </xdr:nvSpPr>
      <xdr:spPr>
        <a:xfrm>
          <a:off x="2581275" y="8391525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66675</xdr:colOff>
      <xdr:row>48</xdr:row>
      <xdr:rowOff>38101</xdr:rowOff>
    </xdr:from>
    <xdr:to>
      <xdr:col>1</xdr:col>
      <xdr:colOff>771525</xdr:colOff>
      <xdr:row>48</xdr:row>
      <xdr:rowOff>113158</xdr:rowOff>
    </xdr:to>
    <xdr:sp macro="" textlink="">
      <xdr:nvSpPr>
        <xdr:cNvPr id="6" name="Striped Right Arrow 2">
          <a:extLst>
            <a:ext uri="{FF2B5EF4-FFF2-40B4-BE49-F238E27FC236}">
              <a16:creationId xmlns:a16="http://schemas.microsoft.com/office/drawing/2014/main" id="{4E082122-A85D-48BB-89C2-B9F19BB71205}"/>
            </a:ext>
          </a:extLst>
        </xdr:cNvPr>
        <xdr:cNvSpPr/>
      </xdr:nvSpPr>
      <xdr:spPr>
        <a:xfrm>
          <a:off x="2581275" y="8924926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57150</xdr:colOff>
      <xdr:row>49</xdr:row>
      <xdr:rowOff>47626</xdr:rowOff>
    </xdr:from>
    <xdr:to>
      <xdr:col>1</xdr:col>
      <xdr:colOff>762000</xdr:colOff>
      <xdr:row>49</xdr:row>
      <xdr:rowOff>122683</xdr:rowOff>
    </xdr:to>
    <xdr:sp macro="" textlink="">
      <xdr:nvSpPr>
        <xdr:cNvPr id="7" name="Striped Right Arrow 3">
          <a:extLst>
            <a:ext uri="{FF2B5EF4-FFF2-40B4-BE49-F238E27FC236}">
              <a16:creationId xmlns:a16="http://schemas.microsoft.com/office/drawing/2014/main" id="{681D1164-A0A6-48E4-AEB0-6CAE552EC189}"/>
            </a:ext>
          </a:extLst>
        </xdr:cNvPr>
        <xdr:cNvSpPr/>
      </xdr:nvSpPr>
      <xdr:spPr>
        <a:xfrm>
          <a:off x="2571750" y="9096376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66675</xdr:colOff>
      <xdr:row>47</xdr:row>
      <xdr:rowOff>38101</xdr:rowOff>
    </xdr:from>
    <xdr:to>
      <xdr:col>1</xdr:col>
      <xdr:colOff>771525</xdr:colOff>
      <xdr:row>47</xdr:row>
      <xdr:rowOff>113158</xdr:rowOff>
    </xdr:to>
    <xdr:sp macro="" textlink="">
      <xdr:nvSpPr>
        <xdr:cNvPr id="8" name="Striped Right Arrow 2">
          <a:extLst>
            <a:ext uri="{FF2B5EF4-FFF2-40B4-BE49-F238E27FC236}">
              <a16:creationId xmlns:a16="http://schemas.microsoft.com/office/drawing/2014/main" id="{8B1CEFB3-9BEA-4E19-AA3F-45FF1C7C9CE1}"/>
            </a:ext>
          </a:extLst>
        </xdr:cNvPr>
        <xdr:cNvSpPr/>
      </xdr:nvSpPr>
      <xdr:spPr>
        <a:xfrm>
          <a:off x="2581275" y="8753476"/>
          <a:ext cx="704850" cy="75057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F54"/>
  <sheetViews>
    <sheetView topLeftCell="A28" zoomScaleNormal="100" workbookViewId="0">
      <selection activeCell="M42" sqref="M42"/>
    </sheetView>
  </sheetViews>
  <sheetFormatPr defaultColWidth="9.1796875" defaultRowHeight="10" x14ac:dyDescent="0.2"/>
  <cols>
    <col min="1" max="1" width="2.54296875" style="1" bestFit="1" customWidth="1"/>
    <col min="2" max="2" width="34.453125" style="1" customWidth="1"/>
    <col min="3" max="3" width="3.453125" style="1" customWidth="1"/>
    <col min="4" max="5" width="11.81640625" style="1" bestFit="1" customWidth="1"/>
    <col min="6" max="6" width="2.54296875" style="1" bestFit="1" customWidth="1"/>
    <col min="7" max="16384" width="9.1796875" style="1"/>
  </cols>
  <sheetData>
    <row r="1" spans="1:6" ht="15.5" x14ac:dyDescent="0.35">
      <c r="A1" s="56"/>
      <c r="B1" s="4" t="s">
        <v>0</v>
      </c>
      <c r="C1" s="56"/>
      <c r="D1" s="57" t="s">
        <v>1</v>
      </c>
      <c r="E1" s="56"/>
      <c r="F1" s="57"/>
    </row>
    <row r="2" spans="1:6" ht="8.25" customHeight="1" x14ac:dyDescent="0.35">
      <c r="A2" s="4"/>
      <c r="B2" s="56"/>
      <c r="C2" s="56"/>
      <c r="D2" s="56"/>
      <c r="E2" s="56"/>
      <c r="F2" s="56"/>
    </row>
    <row r="3" spans="1:6" s="2" customFormat="1" ht="15.5" x14ac:dyDescent="0.35">
      <c r="A3" s="5" t="s">
        <v>2</v>
      </c>
      <c r="B3" s="6" t="s">
        <v>3</v>
      </c>
      <c r="C3" s="57"/>
      <c r="D3" s="33" t="s">
        <v>4</v>
      </c>
      <c r="E3" s="57"/>
      <c r="F3" s="57"/>
    </row>
    <row r="4" spans="1:6" s="2" customFormat="1" ht="15.5" x14ac:dyDescent="0.35">
      <c r="A4" s="5" t="s">
        <v>2</v>
      </c>
      <c r="B4" s="7" t="s">
        <v>5</v>
      </c>
      <c r="C4" s="57"/>
      <c r="D4" s="57"/>
      <c r="E4" s="57"/>
      <c r="F4" s="57"/>
    </row>
    <row r="5" spans="1:6" s="2" customFormat="1" ht="15.5" x14ac:dyDescent="0.35">
      <c r="A5" s="5" t="s">
        <v>2</v>
      </c>
      <c r="B5" s="7" t="s">
        <v>6</v>
      </c>
      <c r="C5" s="58"/>
      <c r="D5" s="57"/>
      <c r="E5" s="57"/>
      <c r="F5" s="57"/>
    </row>
    <row r="6" spans="1:6" s="9" customFormat="1" ht="8.5" thickBot="1" x14ac:dyDescent="0.25">
      <c r="A6" s="8"/>
      <c r="B6" s="8"/>
      <c r="C6" s="59"/>
      <c r="D6" s="60">
        <v>7</v>
      </c>
      <c r="E6" s="60">
        <v>8</v>
      </c>
      <c r="F6" s="8"/>
    </row>
    <row r="7" spans="1:6" s="12" customFormat="1" ht="13" customHeight="1" thickTop="1" x14ac:dyDescent="0.25">
      <c r="A7" s="10"/>
      <c r="B7" s="11"/>
      <c r="C7" s="61"/>
      <c r="D7" s="62" t="s">
        <v>7</v>
      </c>
      <c r="E7" s="63"/>
      <c r="F7" s="64"/>
    </row>
    <row r="8" spans="1:6" s="12" customFormat="1" ht="13" customHeight="1" x14ac:dyDescent="0.25">
      <c r="A8" s="10"/>
      <c r="B8" s="11"/>
      <c r="C8" s="86"/>
      <c r="D8" s="87" t="s">
        <v>8</v>
      </c>
      <c r="E8" s="89" t="s">
        <v>9</v>
      </c>
      <c r="F8" s="64"/>
    </row>
    <row r="9" spans="1:6" s="12" customFormat="1" ht="13" customHeight="1" thickBot="1" x14ac:dyDescent="0.3">
      <c r="A9" s="13"/>
      <c r="B9" s="14" t="s">
        <v>10</v>
      </c>
      <c r="C9" s="86"/>
      <c r="D9" s="88"/>
      <c r="E9" s="90"/>
      <c r="F9" s="65"/>
    </row>
    <row r="10" spans="1:6" ht="16" customHeight="1" thickTop="1" x14ac:dyDescent="0.3">
      <c r="A10" s="29"/>
      <c r="B10" s="30"/>
      <c r="C10" s="34"/>
      <c r="D10" s="31"/>
      <c r="E10" s="31"/>
      <c r="F10" s="66"/>
    </row>
    <row r="11" spans="1:6" ht="16" customHeight="1" x14ac:dyDescent="0.3">
      <c r="A11" s="15">
        <v>1</v>
      </c>
      <c r="B11" s="19" t="s">
        <v>11</v>
      </c>
      <c r="C11" s="35"/>
      <c r="D11" s="20">
        <v>4750</v>
      </c>
      <c r="E11" s="21"/>
      <c r="F11" s="67">
        <v>1</v>
      </c>
    </row>
    <row r="12" spans="1:6" ht="16" customHeight="1" x14ac:dyDescent="0.3">
      <c r="A12" s="15">
        <f>A11+1</f>
        <v>2</v>
      </c>
      <c r="B12" s="22" t="s">
        <v>12</v>
      </c>
      <c r="C12" s="35"/>
      <c r="D12" s="20">
        <v>75</v>
      </c>
      <c r="E12" s="23"/>
      <c r="F12" s="67">
        <f>F11+1</f>
        <v>2</v>
      </c>
    </row>
    <row r="13" spans="1:6" ht="16" customHeight="1" x14ac:dyDescent="0.3">
      <c r="A13" s="15">
        <f t="shared" ref="A13:A20" si="0">A12+1</f>
        <v>3</v>
      </c>
      <c r="B13" s="16" t="s">
        <v>13</v>
      </c>
      <c r="C13" s="35"/>
      <c r="D13" s="17">
        <v>825</v>
      </c>
      <c r="E13" s="18"/>
      <c r="F13" s="67">
        <f t="shared" ref="F13:F20" si="1">F12+1</f>
        <v>3</v>
      </c>
    </row>
    <row r="14" spans="1:6" ht="16" customHeight="1" x14ac:dyDescent="0.3">
      <c r="A14" s="15">
        <f t="shared" si="0"/>
        <v>4</v>
      </c>
      <c r="B14" s="19" t="s">
        <v>14</v>
      </c>
      <c r="C14" s="35"/>
      <c r="D14" s="20">
        <v>715</v>
      </c>
      <c r="E14" s="21"/>
      <c r="F14" s="67">
        <f t="shared" si="1"/>
        <v>4</v>
      </c>
    </row>
    <row r="15" spans="1:6" ht="16" customHeight="1" x14ac:dyDescent="0.3">
      <c r="A15" s="15">
        <f t="shared" si="0"/>
        <v>5</v>
      </c>
      <c r="B15" s="36" t="s">
        <v>15</v>
      </c>
      <c r="C15" s="35"/>
      <c r="D15" s="37">
        <v>110</v>
      </c>
      <c r="E15" s="38"/>
      <c r="F15" s="67">
        <f t="shared" si="1"/>
        <v>5</v>
      </c>
    </row>
    <row r="16" spans="1:6" ht="16" customHeight="1" x14ac:dyDescent="0.3">
      <c r="A16" s="15">
        <f t="shared" si="0"/>
        <v>6</v>
      </c>
      <c r="B16" s="36" t="s">
        <v>16</v>
      </c>
      <c r="C16" s="35"/>
      <c r="D16" s="37">
        <v>320</v>
      </c>
      <c r="E16" s="38"/>
      <c r="F16" s="67">
        <f t="shared" si="1"/>
        <v>6</v>
      </c>
    </row>
    <row r="17" spans="1:6" ht="16" customHeight="1" x14ac:dyDescent="0.3">
      <c r="A17" s="15">
        <f t="shared" si="0"/>
        <v>7</v>
      </c>
      <c r="B17" s="36" t="s">
        <v>17</v>
      </c>
      <c r="C17" s="35"/>
      <c r="D17" s="37"/>
      <c r="E17" s="38">
        <v>275</v>
      </c>
      <c r="F17" s="67">
        <f t="shared" si="1"/>
        <v>7</v>
      </c>
    </row>
    <row r="18" spans="1:6" ht="16" customHeight="1" x14ac:dyDescent="0.3">
      <c r="A18" s="15">
        <f t="shared" si="0"/>
        <v>8</v>
      </c>
      <c r="B18" s="36" t="s">
        <v>18</v>
      </c>
      <c r="C18" s="35"/>
      <c r="D18" s="37"/>
      <c r="E18" s="38">
        <v>490</v>
      </c>
      <c r="F18" s="67">
        <f t="shared" si="1"/>
        <v>8</v>
      </c>
    </row>
    <row r="19" spans="1:6" ht="16" customHeight="1" x14ac:dyDescent="0.3">
      <c r="A19" s="15">
        <f t="shared" si="0"/>
        <v>9</v>
      </c>
      <c r="B19" s="36" t="s">
        <v>19</v>
      </c>
      <c r="C19" s="35"/>
      <c r="D19" s="37"/>
      <c r="E19" s="38">
        <v>3500</v>
      </c>
      <c r="F19" s="67">
        <f t="shared" si="1"/>
        <v>9</v>
      </c>
    </row>
    <row r="20" spans="1:6" ht="16" customHeight="1" x14ac:dyDescent="0.3">
      <c r="A20" s="15">
        <f t="shared" si="0"/>
        <v>10</v>
      </c>
      <c r="B20" s="36" t="s">
        <v>20</v>
      </c>
      <c r="C20" s="35"/>
      <c r="D20" s="37">
        <v>1200</v>
      </c>
      <c r="E20" s="38"/>
      <c r="F20" s="67">
        <f t="shared" si="1"/>
        <v>10</v>
      </c>
    </row>
    <row r="21" spans="1:6" ht="10.5" customHeight="1" thickBot="1" x14ac:dyDescent="0.35">
      <c r="A21" s="39"/>
      <c r="B21" s="40"/>
      <c r="C21" s="34"/>
      <c r="D21" s="34"/>
      <c r="E21" s="34"/>
      <c r="F21" s="66"/>
    </row>
    <row r="22" spans="1:6" ht="16" customHeight="1" x14ac:dyDescent="0.3">
      <c r="A22" s="15">
        <v>18</v>
      </c>
      <c r="B22" s="16"/>
      <c r="C22" s="35"/>
      <c r="D22" s="41">
        <f>SUM(D11:D20)</f>
        <v>7995</v>
      </c>
      <c r="E22" s="42">
        <f>SUM(E11:E20)</f>
        <v>4265</v>
      </c>
      <c r="F22" s="68">
        <v>18</v>
      </c>
    </row>
    <row r="23" spans="1:6" ht="16" customHeight="1" thickBot="1" x14ac:dyDescent="0.35">
      <c r="A23" s="15">
        <v>19</v>
      </c>
      <c r="B23" s="19" t="s">
        <v>21</v>
      </c>
      <c r="C23" s="35"/>
      <c r="D23" s="24"/>
      <c r="E23" s="25">
        <f>D22-E22</f>
        <v>3730</v>
      </c>
      <c r="F23" s="67">
        <v>19</v>
      </c>
    </row>
    <row r="24" spans="1:6" ht="16" customHeight="1" thickBot="1" x14ac:dyDescent="0.35">
      <c r="A24" s="15">
        <v>20</v>
      </c>
      <c r="B24" s="22"/>
      <c r="C24" s="35"/>
      <c r="D24" s="26">
        <f>SUM(D22:D23)</f>
        <v>7995</v>
      </c>
      <c r="E24" s="27">
        <f>SUM(E22:E23)</f>
        <v>7995</v>
      </c>
      <c r="F24" s="67">
        <v>20</v>
      </c>
    </row>
    <row r="25" spans="1:6" ht="14.5" thickTop="1" x14ac:dyDescent="0.3">
      <c r="A25" s="15">
        <v>21</v>
      </c>
      <c r="B25" s="19"/>
      <c r="C25" s="35"/>
      <c r="D25" s="20"/>
      <c r="E25" s="21"/>
      <c r="F25" s="67">
        <v>21</v>
      </c>
    </row>
    <row r="26" spans="1:6" ht="14" x14ac:dyDescent="0.3">
      <c r="A26" s="15">
        <v>22</v>
      </c>
      <c r="B26" s="19"/>
      <c r="C26" s="35"/>
      <c r="D26" s="20"/>
      <c r="E26" s="21"/>
      <c r="F26" s="67">
        <v>22</v>
      </c>
    </row>
    <row r="27" spans="1:6" x14ac:dyDescent="0.2">
      <c r="A27" s="56"/>
      <c r="B27" s="56"/>
      <c r="C27" s="56"/>
      <c r="D27" s="56"/>
      <c r="E27" s="56"/>
      <c r="F27" s="56"/>
    </row>
    <row r="28" spans="1:6" x14ac:dyDescent="0.2">
      <c r="A28" s="56"/>
      <c r="B28" s="56"/>
      <c r="C28" s="56"/>
      <c r="D28" s="56"/>
      <c r="E28" s="56"/>
      <c r="F28" s="56"/>
    </row>
    <row r="29" spans="1:6" ht="15.5" x14ac:dyDescent="0.35">
      <c r="A29" s="56"/>
      <c r="B29" s="4" t="s">
        <v>22</v>
      </c>
      <c r="C29" s="56"/>
      <c r="D29" s="57" t="s">
        <v>1</v>
      </c>
      <c r="E29" s="56"/>
      <c r="F29" s="57"/>
    </row>
    <row r="30" spans="1:6" ht="15.75" customHeight="1" x14ac:dyDescent="0.35">
      <c r="A30" s="4"/>
      <c r="B30" s="56"/>
      <c r="C30" s="56"/>
      <c r="D30" s="56"/>
      <c r="E30" s="56"/>
      <c r="F30" s="56"/>
    </row>
    <row r="31" spans="1:6" ht="15.5" x14ac:dyDescent="0.35">
      <c r="A31" s="5" t="s">
        <v>2</v>
      </c>
      <c r="B31" s="6" t="s">
        <v>23</v>
      </c>
      <c r="C31" s="57"/>
      <c r="D31" s="57"/>
      <c r="E31" s="57"/>
      <c r="F31" s="57"/>
    </row>
    <row r="32" spans="1:6" ht="15.5" x14ac:dyDescent="0.35">
      <c r="A32" s="5" t="s">
        <v>2</v>
      </c>
      <c r="B32" s="7" t="s">
        <v>5</v>
      </c>
      <c r="C32" s="57"/>
      <c r="D32" s="57"/>
      <c r="E32" s="57"/>
      <c r="F32" s="57"/>
    </row>
    <row r="33" spans="1:6" ht="15.5" x14ac:dyDescent="0.35">
      <c r="A33" s="5" t="s">
        <v>2</v>
      </c>
      <c r="B33" s="7" t="s">
        <v>24</v>
      </c>
      <c r="C33" s="58"/>
      <c r="D33" s="57"/>
      <c r="E33" s="57"/>
      <c r="F33" s="57"/>
    </row>
    <row r="34" spans="1:6" ht="10.5" thickBot="1" x14ac:dyDescent="0.25">
      <c r="A34" s="8"/>
      <c r="B34" s="8"/>
      <c r="C34" s="59"/>
      <c r="D34" s="60">
        <v>7</v>
      </c>
      <c r="E34" s="60">
        <v>8</v>
      </c>
      <c r="F34" s="8"/>
    </row>
    <row r="35" spans="1:6" ht="12" thickTop="1" x14ac:dyDescent="0.25">
      <c r="A35" s="10"/>
      <c r="B35" s="11"/>
      <c r="C35" s="61"/>
      <c r="D35" s="62" t="s">
        <v>7</v>
      </c>
      <c r="E35" s="63"/>
      <c r="F35" s="64"/>
    </row>
    <row r="36" spans="1:6" ht="11.5" x14ac:dyDescent="0.25">
      <c r="A36" s="10"/>
      <c r="B36" s="11"/>
      <c r="C36" s="86"/>
      <c r="D36" s="87" t="s">
        <v>8</v>
      </c>
      <c r="E36" s="89" t="s">
        <v>9</v>
      </c>
      <c r="F36" s="64"/>
    </row>
    <row r="37" spans="1:6" ht="12" thickBot="1" x14ac:dyDescent="0.3">
      <c r="A37" s="13"/>
      <c r="B37" s="14" t="s">
        <v>10</v>
      </c>
      <c r="C37" s="86"/>
      <c r="D37" s="88"/>
      <c r="E37" s="90"/>
      <c r="F37" s="65"/>
    </row>
    <row r="38" spans="1:6" ht="14.5" thickTop="1" x14ac:dyDescent="0.3">
      <c r="A38" s="29"/>
      <c r="B38" s="30"/>
      <c r="C38" s="34"/>
      <c r="D38" s="31"/>
      <c r="E38" s="31"/>
      <c r="F38" s="66"/>
    </row>
    <row r="39" spans="1:6" ht="14" x14ac:dyDescent="0.3">
      <c r="A39" s="15">
        <v>1</v>
      </c>
      <c r="B39" s="19" t="s">
        <v>11</v>
      </c>
      <c r="C39" s="35"/>
      <c r="D39" s="20">
        <v>2650</v>
      </c>
      <c r="E39" s="21"/>
      <c r="F39" s="67">
        <v>1</v>
      </c>
    </row>
    <row r="40" spans="1:6" ht="14" x14ac:dyDescent="0.3">
      <c r="A40" s="15">
        <f>A39+1</f>
        <v>2</v>
      </c>
      <c r="B40" s="22" t="s">
        <v>12</v>
      </c>
      <c r="C40" s="35"/>
      <c r="D40" s="20">
        <v>200</v>
      </c>
      <c r="E40" s="23"/>
      <c r="F40" s="67">
        <f>F39+1</f>
        <v>2</v>
      </c>
    </row>
    <row r="41" spans="1:6" ht="14" x14ac:dyDescent="0.3">
      <c r="A41" s="15">
        <f t="shared" ref="A41:A48" si="2">A40+1</f>
        <v>3</v>
      </c>
      <c r="B41" s="16" t="s">
        <v>25</v>
      </c>
      <c r="C41" s="35"/>
      <c r="D41" s="17">
        <v>250</v>
      </c>
      <c r="E41" s="18"/>
      <c r="F41" s="67">
        <f t="shared" ref="F41:F48" si="3">F40+1</f>
        <v>3</v>
      </c>
    </row>
    <row r="42" spans="1:6" ht="14" x14ac:dyDescent="0.3">
      <c r="A42" s="15">
        <f t="shared" si="2"/>
        <v>4</v>
      </c>
      <c r="B42" s="19" t="s">
        <v>26</v>
      </c>
      <c r="C42" s="35"/>
      <c r="D42" s="20">
        <v>130</v>
      </c>
      <c r="E42" s="21"/>
      <c r="F42" s="67">
        <f t="shared" si="3"/>
        <v>4</v>
      </c>
    </row>
    <row r="43" spans="1:6" ht="14" x14ac:dyDescent="0.3">
      <c r="A43" s="15">
        <f t="shared" si="2"/>
        <v>5</v>
      </c>
      <c r="B43" s="36" t="s">
        <v>15</v>
      </c>
      <c r="C43" s="35"/>
      <c r="D43" s="37">
        <v>350</v>
      </c>
      <c r="E43" s="38"/>
      <c r="F43" s="67">
        <f t="shared" si="3"/>
        <v>5</v>
      </c>
    </row>
    <row r="44" spans="1:6" ht="14" x14ac:dyDescent="0.3">
      <c r="A44" s="15">
        <f t="shared" si="2"/>
        <v>6</v>
      </c>
      <c r="B44" s="36" t="s">
        <v>16</v>
      </c>
      <c r="C44" s="35"/>
      <c r="D44" s="37">
        <v>290</v>
      </c>
      <c r="E44" s="38"/>
      <c r="F44" s="67">
        <f t="shared" si="3"/>
        <v>6</v>
      </c>
    </row>
    <row r="45" spans="1:6" ht="14" x14ac:dyDescent="0.3">
      <c r="A45" s="15">
        <f t="shared" si="2"/>
        <v>7</v>
      </c>
      <c r="B45" s="36" t="s">
        <v>27</v>
      </c>
      <c r="C45" s="35"/>
      <c r="D45" s="37"/>
      <c r="E45" s="38">
        <v>340</v>
      </c>
      <c r="F45" s="67">
        <f t="shared" si="3"/>
        <v>7</v>
      </c>
    </row>
    <row r="46" spans="1:6" ht="14" x14ac:dyDescent="0.3">
      <c r="A46" s="15">
        <f t="shared" si="2"/>
        <v>8</v>
      </c>
      <c r="B46" s="36" t="s">
        <v>28</v>
      </c>
      <c r="C46" s="35"/>
      <c r="D46" s="37"/>
      <c r="E46" s="38">
        <v>120</v>
      </c>
      <c r="F46" s="67">
        <f t="shared" si="3"/>
        <v>8</v>
      </c>
    </row>
    <row r="47" spans="1:6" ht="14" x14ac:dyDescent="0.3">
      <c r="A47" s="15">
        <f t="shared" si="2"/>
        <v>9</v>
      </c>
      <c r="B47" s="36" t="s">
        <v>29</v>
      </c>
      <c r="C47" s="35"/>
      <c r="D47" s="37"/>
      <c r="E47" s="38">
        <v>3950</v>
      </c>
      <c r="F47" s="67">
        <f t="shared" si="3"/>
        <v>9</v>
      </c>
    </row>
    <row r="48" spans="1:6" ht="14" x14ac:dyDescent="0.3">
      <c r="A48" s="15">
        <f t="shared" si="2"/>
        <v>10</v>
      </c>
      <c r="B48" s="36" t="s">
        <v>30</v>
      </c>
      <c r="C48" s="35"/>
      <c r="D48" s="37">
        <v>1500</v>
      </c>
      <c r="E48" s="38"/>
      <c r="F48" s="67">
        <f t="shared" si="3"/>
        <v>10</v>
      </c>
    </row>
    <row r="49" spans="1:6" ht="9" customHeight="1" thickBot="1" x14ac:dyDescent="0.35">
      <c r="A49" s="39"/>
      <c r="B49" s="40"/>
      <c r="C49" s="34"/>
      <c r="D49" s="34"/>
      <c r="E49" s="34"/>
      <c r="F49" s="66"/>
    </row>
    <row r="50" spans="1:6" ht="14" x14ac:dyDescent="0.3">
      <c r="A50" s="15">
        <v>16</v>
      </c>
      <c r="B50" s="16"/>
      <c r="C50" s="35"/>
      <c r="D50" s="41">
        <f>SUM(D39:D48)</f>
        <v>5370</v>
      </c>
      <c r="E50" s="42">
        <f>SUM(E39:E48)</f>
        <v>4410</v>
      </c>
      <c r="F50" s="68">
        <v>16</v>
      </c>
    </row>
    <row r="51" spans="1:6" ht="14.5" thickBot="1" x14ac:dyDescent="0.35">
      <c r="A51" s="15">
        <v>17</v>
      </c>
      <c r="B51" s="19" t="s">
        <v>21</v>
      </c>
      <c r="C51" s="35"/>
      <c r="D51" s="24"/>
      <c r="E51" s="25">
        <f>D50-E50</f>
        <v>960</v>
      </c>
      <c r="F51" s="67">
        <v>17</v>
      </c>
    </row>
    <row r="52" spans="1:6" ht="14.5" thickBot="1" x14ac:dyDescent="0.35">
      <c r="A52" s="15">
        <v>18</v>
      </c>
      <c r="B52" s="22"/>
      <c r="C52" s="35"/>
      <c r="D52" s="26">
        <f>SUM(D50:D51)</f>
        <v>5370</v>
      </c>
      <c r="E52" s="27">
        <f>SUM(E50:E51)</f>
        <v>5370</v>
      </c>
      <c r="F52" s="67">
        <v>18</v>
      </c>
    </row>
    <row r="53" spans="1:6" ht="14.5" thickTop="1" x14ac:dyDescent="0.3">
      <c r="A53" s="15">
        <v>19</v>
      </c>
      <c r="B53" s="19"/>
      <c r="C53" s="35"/>
      <c r="D53" s="20"/>
      <c r="E53" s="21"/>
      <c r="F53" s="67">
        <v>19</v>
      </c>
    </row>
    <row r="54" spans="1:6" ht="14" x14ac:dyDescent="0.3">
      <c r="A54" s="15">
        <v>20</v>
      </c>
      <c r="B54" s="19"/>
      <c r="C54" s="35"/>
      <c r="D54" s="20"/>
      <c r="E54" s="21"/>
      <c r="F54" s="67">
        <v>20</v>
      </c>
    </row>
  </sheetData>
  <mergeCells count="6">
    <mergeCell ref="C36:C37"/>
    <mergeCell ref="D36:D37"/>
    <mergeCell ref="E36:E37"/>
    <mergeCell ref="C8:C9"/>
    <mergeCell ref="D8:D9"/>
    <mergeCell ref="E8:E9"/>
  </mergeCells>
  <phoneticPr fontId="2" type="noConversion"/>
  <printOptions horizontalCentered="1"/>
  <pageMargins left="0.12" right="0.14000000000000001" top="0.5" bottom="0.5" header="0.25" footer="0.25"/>
  <pageSetup scale="83" pageOrder="overThenDown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56"/>
  <sheetViews>
    <sheetView tabSelected="1" topLeftCell="A22" zoomScaleNormal="100" workbookViewId="0">
      <selection activeCell="C30" sqref="C30"/>
    </sheetView>
  </sheetViews>
  <sheetFormatPr defaultRowHeight="12.5" x14ac:dyDescent="0.25"/>
  <cols>
    <col min="1" max="1" width="37.7265625" bestFit="1" customWidth="1"/>
    <col min="2" max="2" width="12.81640625" bestFit="1" customWidth="1"/>
    <col min="3" max="3" width="35.7265625" customWidth="1"/>
    <col min="4" max="4" width="12.81640625" bestFit="1" customWidth="1"/>
  </cols>
  <sheetData>
    <row r="1" spans="1:4" ht="15.5" x14ac:dyDescent="0.35">
      <c r="A1" t="s">
        <v>0</v>
      </c>
      <c r="B1" t="s">
        <v>31</v>
      </c>
      <c r="C1" s="3" t="s">
        <v>48</v>
      </c>
    </row>
    <row r="2" spans="1:4" x14ac:dyDescent="0.25">
      <c r="A2" t="s">
        <v>32</v>
      </c>
    </row>
    <row r="3" spans="1:4" ht="13" x14ac:dyDescent="0.3">
      <c r="A3" s="33"/>
    </row>
    <row r="4" spans="1:4" ht="15.5" x14ac:dyDescent="0.35">
      <c r="A4" s="95" t="str">
        <f>'Work Sheets'!B3</f>
        <v>All Pro Painters</v>
      </c>
      <c r="B4" s="95"/>
      <c r="C4" s="95"/>
      <c r="D4" s="95"/>
    </row>
    <row r="5" spans="1:4" ht="15.5" x14ac:dyDescent="0.35">
      <c r="A5" s="93" t="str">
        <f>'Work Sheets'!B4</f>
        <v>Work Sheet</v>
      </c>
      <c r="B5" s="93"/>
      <c r="C5" s="93"/>
      <c r="D5" s="93"/>
    </row>
    <row r="6" spans="1:4" ht="15.5" x14ac:dyDescent="0.35">
      <c r="A6" s="94">
        <v>45046</v>
      </c>
      <c r="B6" s="94"/>
      <c r="C6" s="94"/>
      <c r="D6" s="94"/>
    </row>
    <row r="7" spans="1:4" ht="6.75" customHeight="1" thickBot="1" x14ac:dyDescent="0.35">
      <c r="A7" s="32"/>
      <c r="B7" s="32"/>
      <c r="C7" s="32"/>
      <c r="D7" s="32"/>
    </row>
    <row r="8" spans="1:4" ht="16" thickTop="1" x14ac:dyDescent="0.35">
      <c r="A8" s="80" t="s">
        <v>49</v>
      </c>
      <c r="B8" s="44"/>
      <c r="C8" s="79" t="s">
        <v>50</v>
      </c>
      <c r="D8" s="46"/>
    </row>
    <row r="9" spans="1:4" ht="15.5" x14ac:dyDescent="0.35">
      <c r="A9" s="43" t="str">
        <f>'Work Sheets'!B11</f>
        <v>Cash</v>
      </c>
      <c r="B9" s="45">
        <f>'Work Sheets'!D11</f>
        <v>4750</v>
      </c>
      <c r="C9" s="47" t="str">
        <f>'Work Sheets'!B17</f>
        <v>A/P - Belmont Supplies</v>
      </c>
      <c r="D9" s="45">
        <f>'Work Sheets'!E17</f>
        <v>275</v>
      </c>
    </row>
    <row r="10" spans="1:4" ht="16" thickBot="1" x14ac:dyDescent="0.4">
      <c r="A10" s="43" t="str">
        <f>'Work Sheets'!B12</f>
        <v>Petty Cash</v>
      </c>
      <c r="B10" s="45">
        <f>'Work Sheets'!D12</f>
        <v>75</v>
      </c>
      <c r="C10" s="47" t="str">
        <f>'Work Sheets'!B18</f>
        <v>A/P - Lugert Paints</v>
      </c>
      <c r="D10" s="77">
        <f>'Work Sheets'!E18</f>
        <v>490</v>
      </c>
    </row>
    <row r="11" spans="1:4" ht="15.5" x14ac:dyDescent="0.35">
      <c r="A11" s="43" t="str">
        <f>'Work Sheets'!B13</f>
        <v>A/R - G. Mackerman</v>
      </c>
      <c r="B11" s="45">
        <f>'Work Sheets'!D13</f>
        <v>825</v>
      </c>
      <c r="C11" s="47" t="s">
        <v>52</v>
      </c>
      <c r="D11" s="45">
        <f>SUM(D9:D10)</f>
        <v>765</v>
      </c>
    </row>
    <row r="12" spans="1:4" ht="15.5" x14ac:dyDescent="0.35">
      <c r="A12" s="43" t="str">
        <f>'Work Sheets'!B14</f>
        <v>A/R - R. Whu</v>
      </c>
      <c r="B12" s="45">
        <f>'Work Sheets'!D14</f>
        <v>715</v>
      </c>
      <c r="C12" s="78" t="s">
        <v>53</v>
      </c>
      <c r="D12" s="46"/>
    </row>
    <row r="13" spans="1:4" ht="15.5" x14ac:dyDescent="0.35">
      <c r="A13" s="43" t="str">
        <f>'Work Sheets'!B15</f>
        <v>Supplies</v>
      </c>
      <c r="B13" s="45">
        <f>'Work Sheets'!D15</f>
        <v>110</v>
      </c>
      <c r="C13" s="47" t="str">
        <f>'Work Sheets'!B19</f>
        <v>Dwight Sundeen, Capital</v>
      </c>
      <c r="D13" s="48">
        <v>6030</v>
      </c>
    </row>
    <row r="14" spans="1:4" ht="16" thickBot="1" x14ac:dyDescent="0.4">
      <c r="A14" s="43" t="str">
        <f>'Work Sheets'!B16</f>
        <v>Prepaid Insurance</v>
      </c>
      <c r="B14" s="77">
        <f>'Work Sheets'!D16</f>
        <v>320</v>
      </c>
      <c r="C14" s="82"/>
      <c r="D14" s="81"/>
    </row>
    <row r="15" spans="1:4" ht="15.5" x14ac:dyDescent="0.35">
      <c r="A15" s="43" t="s">
        <v>51</v>
      </c>
      <c r="B15" s="45">
        <f>SUM(B9:B14)</f>
        <v>6795</v>
      </c>
      <c r="C15" s="49" t="s">
        <v>54</v>
      </c>
      <c r="D15" s="83">
        <f>D11+D13</f>
        <v>6795</v>
      </c>
    </row>
    <row r="16" spans="1:4" ht="15.5" x14ac:dyDescent="0.35">
      <c r="A16" s="43"/>
      <c r="B16" s="47"/>
      <c r="C16" s="49"/>
      <c r="D16" s="46"/>
    </row>
    <row r="17" spans="1:4" ht="15.5" x14ac:dyDescent="0.35">
      <c r="A17" s="69"/>
      <c r="B17" s="70"/>
      <c r="C17" s="70"/>
      <c r="D17" s="46"/>
    </row>
    <row r="18" spans="1:4" ht="15.5" x14ac:dyDescent="0.35">
      <c r="A18" s="69"/>
      <c r="B18" s="70"/>
      <c r="C18" s="70"/>
      <c r="D18" s="46"/>
    </row>
    <row r="19" spans="1:4" ht="15.5" x14ac:dyDescent="0.35">
      <c r="A19" s="69"/>
      <c r="B19" s="71"/>
      <c r="C19" s="71"/>
      <c r="D19" s="72"/>
    </row>
    <row r="20" spans="1:4" ht="15.5" x14ac:dyDescent="0.35">
      <c r="A20" s="69"/>
      <c r="B20" s="71"/>
      <c r="C20" s="71"/>
      <c r="D20" s="72"/>
    </row>
    <row r="21" spans="1:4" ht="15.5" x14ac:dyDescent="0.35">
      <c r="A21" s="69"/>
      <c r="B21" s="71"/>
      <c r="C21" s="71"/>
      <c r="D21" s="72"/>
    </row>
    <row r="23" spans="1:4" ht="15.5" x14ac:dyDescent="0.35">
      <c r="A23" t="s">
        <v>22</v>
      </c>
      <c r="C23" s="28"/>
    </row>
    <row r="24" spans="1:4" x14ac:dyDescent="0.25">
      <c r="A24" t="s">
        <v>33</v>
      </c>
    </row>
    <row r="26" spans="1:4" ht="15.5" x14ac:dyDescent="0.35">
      <c r="A26" s="95" t="str">
        <f>'Work Sheets'!B31</f>
        <v>A-1 Computer Repair</v>
      </c>
      <c r="B26" s="95"/>
      <c r="C26" s="95"/>
      <c r="D26" s="95"/>
    </row>
    <row r="27" spans="1:4" ht="15.5" x14ac:dyDescent="0.35">
      <c r="A27" s="93" t="s">
        <v>55</v>
      </c>
      <c r="B27" s="93"/>
      <c r="C27" s="93"/>
      <c r="D27" s="93"/>
    </row>
    <row r="28" spans="1:4" ht="15.5" x14ac:dyDescent="0.35">
      <c r="A28" s="94">
        <v>45230</v>
      </c>
      <c r="B28" s="94"/>
      <c r="C28" s="94"/>
      <c r="D28" s="94"/>
    </row>
    <row r="29" spans="1:4" ht="7.5" customHeight="1" thickBot="1" x14ac:dyDescent="0.35">
      <c r="A29" s="32"/>
      <c r="B29" s="32"/>
      <c r="C29" s="32"/>
      <c r="D29" s="32"/>
    </row>
    <row r="30" spans="1:4" ht="16" thickTop="1" x14ac:dyDescent="0.35">
      <c r="A30" s="80" t="s">
        <v>49</v>
      </c>
      <c r="B30" s="44"/>
      <c r="C30" s="79" t="s">
        <v>50</v>
      </c>
      <c r="D30" s="46"/>
    </row>
    <row r="31" spans="1:4" ht="15.5" x14ac:dyDescent="0.35">
      <c r="A31" s="43" t="str">
        <f>'Work Sheets'!B39</f>
        <v>Cash</v>
      </c>
      <c r="B31" s="45">
        <f>'Work Sheets'!D39</f>
        <v>2650</v>
      </c>
      <c r="C31" s="47" t="str">
        <f>'Work Sheets'!B45</f>
        <v>A/P - Computer Supplies Co.</v>
      </c>
      <c r="D31" s="45">
        <f>'Work Sheets'!E45</f>
        <v>340</v>
      </c>
    </row>
    <row r="32" spans="1:4" ht="16" thickBot="1" x14ac:dyDescent="0.4">
      <c r="A32" s="43" t="str">
        <f>'Work Sheets'!B40</f>
        <v>Petty Cash</v>
      </c>
      <c r="B32" s="45">
        <f>'Work Sheets'!D40</f>
        <v>200</v>
      </c>
      <c r="C32" s="47" t="str">
        <f>'Work Sheets'!B46</f>
        <v>A/P - Westside Supplies</v>
      </c>
      <c r="D32" s="77">
        <f>'Work Sheets'!E46</f>
        <v>120</v>
      </c>
    </row>
    <row r="33" spans="1:4" ht="15.5" x14ac:dyDescent="0.35">
      <c r="A33" s="43" t="str">
        <f>'Work Sheets'!B41</f>
        <v>A/R - Sunshine Café</v>
      </c>
      <c r="B33" s="45">
        <f>'Work Sheets'!D41</f>
        <v>250</v>
      </c>
      <c r="C33" s="47" t="s">
        <v>52</v>
      </c>
      <c r="D33" s="45">
        <f>SUM(D31:D32)</f>
        <v>460</v>
      </c>
    </row>
    <row r="34" spans="1:4" ht="15.5" x14ac:dyDescent="0.35">
      <c r="A34" s="43" t="str">
        <f>'Work Sheets'!B42</f>
        <v>A/R - Dependable Cleaners</v>
      </c>
      <c r="B34" s="45">
        <f>'Work Sheets'!D42</f>
        <v>130</v>
      </c>
      <c r="C34" s="78" t="s">
        <v>53</v>
      </c>
      <c r="D34" s="46"/>
    </row>
    <row r="35" spans="1:4" ht="15.5" x14ac:dyDescent="0.35">
      <c r="A35" s="43" t="str">
        <f>'Work Sheets'!B43</f>
        <v>Supplies</v>
      </c>
      <c r="B35" s="45">
        <f>'Work Sheets'!D43</f>
        <v>350</v>
      </c>
      <c r="C35" s="47" t="str">
        <f>'Work Sheets'!B47</f>
        <v>Eva Nelson, Capital</v>
      </c>
      <c r="D35" s="48">
        <v>3410</v>
      </c>
    </row>
    <row r="36" spans="1:4" ht="16" thickBot="1" x14ac:dyDescent="0.4">
      <c r="A36" s="43" t="str">
        <f>'Work Sheets'!B44</f>
        <v>Prepaid Insurance</v>
      </c>
      <c r="B36" s="77">
        <f>'Work Sheets'!D44</f>
        <v>290</v>
      </c>
      <c r="C36" s="47"/>
      <c r="D36" s="84"/>
    </row>
    <row r="37" spans="1:4" ht="15.5" x14ac:dyDescent="0.35">
      <c r="A37" s="43" t="s">
        <v>51</v>
      </c>
      <c r="B37" s="45">
        <f>SUM(B31:B36)</f>
        <v>3870</v>
      </c>
      <c r="C37" s="49" t="s">
        <v>54</v>
      </c>
      <c r="D37" s="83">
        <f>D35+D33</f>
        <v>3870</v>
      </c>
    </row>
    <row r="38" spans="1:4" ht="15.5" x14ac:dyDescent="0.35">
      <c r="A38" s="43"/>
      <c r="B38" s="73"/>
      <c r="C38" s="74"/>
      <c r="D38" s="72"/>
    </row>
    <row r="39" spans="1:4" ht="15.5" x14ac:dyDescent="0.35">
      <c r="A39" s="69"/>
      <c r="B39" s="71"/>
      <c r="C39" s="71"/>
      <c r="D39" s="72"/>
    </row>
    <row r="40" spans="1:4" ht="15.5" x14ac:dyDescent="0.35">
      <c r="A40" s="69"/>
      <c r="B40" s="71"/>
      <c r="C40" s="71"/>
      <c r="D40" s="72"/>
    </row>
    <row r="41" spans="1:4" ht="15.5" x14ac:dyDescent="0.35">
      <c r="A41" s="69"/>
      <c r="B41" s="71"/>
      <c r="C41" s="71"/>
      <c r="D41" s="72"/>
    </row>
    <row r="42" spans="1:4" ht="15.5" x14ac:dyDescent="0.35">
      <c r="A42" s="69"/>
      <c r="B42" s="71"/>
      <c r="C42" s="71"/>
      <c r="D42" s="72"/>
    </row>
    <row r="43" spans="1:4" ht="15.5" x14ac:dyDescent="0.35">
      <c r="A43" s="69"/>
      <c r="B43" s="71"/>
      <c r="C43" s="71"/>
      <c r="D43" s="72"/>
    </row>
    <row r="44" spans="1:4" ht="13" x14ac:dyDescent="0.3">
      <c r="A44" s="50" t="s">
        <v>34</v>
      </c>
      <c r="C44" s="50" t="s">
        <v>35</v>
      </c>
    </row>
    <row r="45" spans="1:4" ht="13.5" thickBot="1" x14ac:dyDescent="0.35">
      <c r="A45" s="50" t="s">
        <v>36</v>
      </c>
      <c r="C45" s="50" t="s">
        <v>37</v>
      </c>
    </row>
    <row r="46" spans="1:4" ht="13.5" thickTop="1" thickBot="1" x14ac:dyDescent="0.3">
      <c r="A46" s="75" t="s">
        <v>38</v>
      </c>
      <c r="C46" s="52">
        <v>7752859</v>
      </c>
    </row>
    <row r="47" spans="1:4" ht="13.5" thickTop="1" thickBot="1" x14ac:dyDescent="0.3"/>
    <row r="48" spans="1:4" ht="13" thickTop="1" x14ac:dyDescent="0.25">
      <c r="A48" s="75" t="s">
        <v>39</v>
      </c>
      <c r="C48" s="85">
        <v>2550198</v>
      </c>
    </row>
    <row r="49" spans="1:3" x14ac:dyDescent="0.25">
      <c r="A49" s="75" t="s">
        <v>40</v>
      </c>
      <c r="C49" s="53">
        <v>2863127</v>
      </c>
    </row>
    <row r="50" spans="1:3" ht="13" thickBot="1" x14ac:dyDescent="0.3">
      <c r="A50" s="75" t="s">
        <v>41</v>
      </c>
      <c r="C50" s="54">
        <v>2339534</v>
      </c>
    </row>
    <row r="51" spans="1:3" ht="13.5" thickTop="1" thickBot="1" x14ac:dyDescent="0.3"/>
    <row r="52" spans="1:3" ht="13" thickTop="1" x14ac:dyDescent="0.25">
      <c r="A52" s="76" t="s">
        <v>42</v>
      </c>
      <c r="C52" s="91">
        <f>C48+C49+C50</f>
        <v>7752859</v>
      </c>
    </row>
    <row r="53" spans="1:3" ht="13" thickBot="1" x14ac:dyDescent="0.3">
      <c r="A53" s="76" t="s">
        <v>43</v>
      </c>
      <c r="C53" s="92"/>
    </row>
    <row r="54" spans="1:3" ht="13" thickTop="1" x14ac:dyDescent="0.25"/>
    <row r="55" spans="1:3" ht="13" x14ac:dyDescent="0.3">
      <c r="A55" s="50" t="s">
        <v>44</v>
      </c>
      <c r="C55" s="50" t="s">
        <v>45</v>
      </c>
    </row>
    <row r="56" spans="1:3" x14ac:dyDescent="0.25">
      <c r="A56" s="55" t="s">
        <v>46</v>
      </c>
      <c r="B56" s="51"/>
      <c r="C56" s="55" t="s">
        <v>47</v>
      </c>
    </row>
  </sheetData>
  <mergeCells count="7">
    <mergeCell ref="C52:C53"/>
    <mergeCell ref="A27:D27"/>
    <mergeCell ref="A28:D28"/>
    <mergeCell ref="A4:D4"/>
    <mergeCell ref="A5:D5"/>
    <mergeCell ref="A6:D6"/>
    <mergeCell ref="A26:D26"/>
  </mergeCells>
  <phoneticPr fontId="2" type="noConversion"/>
  <printOptions horizontalCentered="1"/>
  <pageMargins left="0.12" right="0.18" top="0.68" bottom="1" header="0.5" footer="0.5"/>
  <pageSetup scale="95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004E75C-073A-463F-91B5-06A44F1C95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77C520-CCA6-400C-9D0A-124385E9E9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05E83AE-8075-4B6D-9BE9-39222D8E4BD6}">
  <ds:schemaRefs>
    <ds:schemaRef ds:uri="http://schemas.microsoft.com/office/2006/documentManagement/types"/>
    <ds:schemaRef ds:uri="http://purl.org/dc/dcmitype/"/>
    <ds:schemaRef ds:uri="d758baea-510e-4597-bb40-a09e4fc0f415"/>
    <ds:schemaRef ds:uri="http://purl.org/dc/elements/1.1/"/>
    <ds:schemaRef ds:uri="http://www.w3.org/XML/1998/namespace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d5bf7610-0a90-45dc-b926-1b234e6c675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Work Sheets</vt:lpstr>
      <vt:lpstr>Balance Sheets</vt:lpstr>
      <vt:lpstr>'Work Sheets'!Print_Area</vt:lpstr>
      <vt:lpstr>'Work Sheets'!Print_Titles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2007-12-01T01:11:46Z</dcterms:created>
  <dcterms:modified xsi:type="dcterms:W3CDTF">2024-01-11T01:58:41Z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24300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</Properties>
</file>