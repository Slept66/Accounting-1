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7/"/>
    </mc:Choice>
  </mc:AlternateContent>
  <xr:revisionPtr revIDLastSave="43" documentId="8_{1AC3A69E-38D7-4CFF-9F81-E9B70A6F6CFA}" xr6:coauthVersionLast="47" xr6:coauthVersionMax="47" xr10:uidLastSave="{DFF1BB61-0732-46A9-8D86-A98D4A35E31B}"/>
  <bookViews>
    <workbookView xWindow="-120" yWindow="-120" windowWidth="21840" windowHeight="13140" activeTab="1" xr2:uid="{00000000-000D-0000-FFFF-FFFF00000000}"/>
  </bookViews>
  <sheets>
    <sheet name="Work Sheets" sheetId="8" r:id="rId1"/>
    <sheet name="Income Statements" sheetId="13" r:id="rId2"/>
  </sheets>
  <definedNames>
    <definedName name="_xlnm.Print_Area" localSheetId="0">'Work Sheets'!$A$1:$G$47</definedName>
    <definedName name="_xlnm.Print_Titles" localSheetId="0">'Work Sheets'!$A:$B,'Work Sheets'!$1:$9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4" i="13" l="1"/>
  <c r="D43" i="13"/>
  <c r="D35" i="13"/>
  <c r="A42" i="13"/>
  <c r="A41" i="13"/>
  <c r="A40" i="13"/>
  <c r="A39" i="13"/>
  <c r="A38" i="13"/>
  <c r="A37" i="13"/>
  <c r="C44" i="13"/>
  <c r="C43" i="13"/>
  <c r="C35" i="13"/>
  <c r="A35" i="13"/>
  <c r="D19" i="13"/>
  <c r="D18" i="13"/>
  <c r="D10" i="13"/>
  <c r="A19" i="13"/>
  <c r="C19" i="13"/>
  <c r="B12" i="13" a="1"/>
  <c r="B12" i="13" s="1"/>
  <c r="C10" i="13"/>
  <c r="A17" i="13"/>
  <c r="A16" i="13"/>
  <c r="A15" i="13"/>
  <c r="A14" i="13"/>
  <c r="A13" i="13"/>
  <c r="A12" i="13"/>
  <c r="G36" i="8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A36" i="8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G12" i="8"/>
  <c r="G13" i="8"/>
  <c r="G14" i="8" s="1"/>
  <c r="G15" i="8" s="1"/>
  <c r="G17" i="8" s="1"/>
  <c r="G18" i="8" s="1"/>
  <c r="G19" i="8" s="1"/>
  <c r="G20" i="8" s="1"/>
  <c r="G21" i="8" s="1"/>
  <c r="G22" i="8" s="1"/>
  <c r="E44" i="8"/>
  <c r="D42" i="8"/>
  <c r="D44" i="8" s="1"/>
  <c r="C42" i="8"/>
  <c r="A12" i="8"/>
  <c r="A13" i="8" s="1"/>
  <c r="A14" i="8" s="1"/>
  <c r="A15" i="8" s="1"/>
  <c r="A17" i="8" s="1"/>
  <c r="A18" i="8" s="1"/>
  <c r="A19" i="8" s="1"/>
  <c r="A20" i="8" s="1"/>
  <c r="A21" i="8" s="1"/>
  <c r="A22" i="8" s="1"/>
  <c r="E20" i="8"/>
  <c r="D18" i="8"/>
  <c r="D20" i="8" s="1"/>
  <c r="C18" i="8"/>
  <c r="C43" i="8"/>
  <c r="F43" i="8" s="1"/>
  <c r="F44" i="8" s="1"/>
  <c r="C44" i="8" l="1"/>
  <c r="C19" i="8"/>
  <c r="F19" i="8" s="1"/>
  <c r="F20" i="8" s="1"/>
  <c r="C2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<sst xmlns="http://schemas.openxmlformats.org/spreadsheetml/2006/main" count="70" uniqueCount="33">
  <si>
    <t xml:space="preserve"> </t>
  </si>
  <si>
    <t>INCOME STATEMENT</t>
  </si>
  <si>
    <t>BALANCE SHEET</t>
  </si>
  <si>
    <t>DEBIT</t>
  </si>
  <si>
    <t>CREDIT</t>
  </si>
  <si>
    <t>ACCOUNT TITLE</t>
  </si>
  <si>
    <t>Insurance Expense</t>
  </si>
  <si>
    <t>Miscellaneous Expense</t>
  </si>
  <si>
    <t>Utilities Expense</t>
  </si>
  <si>
    <t>Sales</t>
  </si>
  <si>
    <t>Advertising Expense</t>
  </si>
  <si>
    <t>Supplies Expense</t>
  </si>
  <si>
    <t>Work Sheet</t>
  </si>
  <si>
    <t>Net Income</t>
  </si>
  <si>
    <t>Accounting 1 work together 7-1</t>
  </si>
  <si>
    <t>Accounting 1 on your own 7-1</t>
  </si>
  <si>
    <t>Income Statement</t>
  </si>
  <si>
    <t>% of
Sales</t>
  </si>
  <si>
    <t>Name:</t>
  </si>
  <si>
    <t>DO NOT PRINT THIS SHEET</t>
  </si>
  <si>
    <t>For the Month Ended February 28, 20--</t>
  </si>
  <si>
    <t>page 198, textbook</t>
  </si>
  <si>
    <t>Hair Care Salon</t>
  </si>
  <si>
    <t>For the Month Ended May 31, 20--</t>
  </si>
  <si>
    <t>Cash Short and Over</t>
  </si>
  <si>
    <t>Utilties Expense</t>
  </si>
  <si>
    <t>Plumbing Solutions</t>
  </si>
  <si>
    <t xml:space="preserve">page 198, textbook </t>
  </si>
  <si>
    <t>Dhruv Patil</t>
  </si>
  <si>
    <t xml:space="preserve">Revenue: </t>
  </si>
  <si>
    <t>Expenses:</t>
  </si>
  <si>
    <t>Total Expenses</t>
  </si>
  <si>
    <t>Revenue: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</si>
</sst>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14" x14ac:knownFonts="1">
    <font>
      <sz val="10"/>
      <name val="Arial"/>
    </font>
    <font>
      <sz val="10"/>
      <name val="Arial"/>
    </font>
    <font>
      <sz val="8"/>
      <name val="Arial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6"/>
      <name val="Arial"/>
      <family val="2"/>
    </font>
    <font>
      <sz val="6"/>
      <name val="Arial"/>
    </font>
    <font>
      <sz val="9"/>
      <name val="Arial"/>
      <family val="2"/>
    </font>
    <font>
      <sz val="9"/>
      <name val="Arial"/>
    </font>
    <font>
      <sz val="12"/>
      <name val="Arial"/>
    </font>
    <font>
      <sz val="11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0" borderId="0" xfId="0" applyFont="1"/>
    <xf numFmtId="0" fontId="6" fillId="0" borderId="1" xfId="0" applyFont="1" applyBorder="1"/>
    <xf numFmtId="0" fontId="4" fillId="0" borderId="0" xfId="0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/>
    <xf numFmtId="0" fontId="4" fillId="0" borderId="2" xfId="0" applyFont="1" applyBorder="1" applyAlignment="1"/>
    <xf numFmtId="0" fontId="7" fillId="0" borderId="3" xfId="0" applyFont="1" applyBorder="1"/>
    <xf numFmtId="0" fontId="8" fillId="0" borderId="3" xfId="0" applyFont="1" applyBorder="1" applyAlignment="1">
      <alignment horizontal="center"/>
    </xf>
    <xf numFmtId="0" fontId="8" fillId="0" borderId="3" xfId="0" applyFont="1" applyBorder="1"/>
    <xf numFmtId="0" fontId="7" fillId="0" borderId="0" xfId="0" applyFont="1"/>
    <xf numFmtId="0" fontId="9" fillId="0" borderId="4" xfId="0" applyFont="1" applyBorder="1"/>
    <xf numFmtId="0" fontId="9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0" fillId="0" borderId="8" xfId="0" applyFont="1" applyBorder="1" applyAlignment="1">
      <alignment horizontal="centerContinuous"/>
    </xf>
    <xf numFmtId="0" fontId="10" fillId="0" borderId="9" xfId="0" applyFont="1" applyBorder="1" applyAlignment="1">
      <alignment horizontal="centerContinuous"/>
    </xf>
    <xf numFmtId="0" fontId="10" fillId="0" borderId="10" xfId="0" applyFont="1" applyBorder="1"/>
    <xf numFmtId="0" fontId="9" fillId="0" borderId="0" xfId="0" applyFont="1"/>
    <xf numFmtId="0" fontId="9" fillId="0" borderId="11" xfId="0" applyFont="1" applyBorder="1"/>
    <xf numFmtId="0" fontId="9" fillId="0" borderId="12" xfId="0" applyFont="1" applyBorder="1" applyAlignment="1">
      <alignment horizontal="center"/>
    </xf>
    <xf numFmtId="0" fontId="10" fillId="0" borderId="13" xfId="0" applyFont="1" applyBorder="1"/>
    <xf numFmtId="0" fontId="7" fillId="0" borderId="14" xfId="0" applyFont="1" applyBorder="1"/>
    <xf numFmtId="0" fontId="8" fillId="0" borderId="15" xfId="0" applyFont="1" applyBorder="1" applyAlignment="1">
      <alignment horizontal="left"/>
    </xf>
    <xf numFmtId="0" fontId="12" fillId="0" borderId="16" xfId="0" applyFont="1" applyBorder="1"/>
    <xf numFmtId="43" fontId="12" fillId="0" borderId="16" xfId="1" applyFont="1" applyBorder="1"/>
    <xf numFmtId="43" fontId="12" fillId="0" borderId="17" xfId="1" applyFont="1" applyBorder="1"/>
    <xf numFmtId="0" fontId="12" fillId="0" borderId="18" xfId="0" applyFont="1" applyBorder="1"/>
    <xf numFmtId="43" fontId="12" fillId="0" borderId="18" xfId="1" applyFont="1" applyBorder="1"/>
    <xf numFmtId="43" fontId="12" fillId="0" borderId="19" xfId="1" applyFont="1" applyBorder="1"/>
    <xf numFmtId="0" fontId="12" fillId="0" borderId="20" xfId="0" applyFont="1" applyBorder="1"/>
    <xf numFmtId="43" fontId="12" fillId="0" borderId="21" xfId="1" applyFont="1" applyBorder="1"/>
    <xf numFmtId="43" fontId="12" fillId="0" borderId="22" xfId="1" applyFont="1" applyBorder="1"/>
    <xf numFmtId="43" fontId="12" fillId="0" borderId="23" xfId="1" applyFont="1" applyBorder="1"/>
    <xf numFmtId="43" fontId="12" fillId="0" borderId="24" xfId="1" applyFont="1" applyBorder="1"/>
    <xf numFmtId="43" fontId="12" fillId="0" borderId="25" xfId="1" applyFont="1" applyBorder="1"/>
    <xf numFmtId="0" fontId="6" fillId="0" borderId="0" xfId="0" applyFont="1" applyBorder="1"/>
    <xf numFmtId="0" fontId="8" fillId="0" borderId="1" xfId="0" applyFont="1" applyBorder="1" applyAlignment="1">
      <alignment horizontal="left"/>
    </xf>
    <xf numFmtId="0" fontId="7" fillId="0" borderId="6" xfId="0" applyFont="1" applyBorder="1"/>
    <xf numFmtId="0" fontId="12" fillId="0" borderId="6" xfId="0" applyFont="1" applyBorder="1"/>
    <xf numFmtId="43" fontId="12" fillId="0" borderId="6" xfId="1" applyFont="1" applyBorder="1"/>
    <xf numFmtId="0" fontId="13" fillId="0" borderId="3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26" xfId="0" applyFont="1" applyBorder="1" applyAlignment="1">
      <alignment horizontal="center" wrapText="1"/>
    </xf>
    <xf numFmtId="0" fontId="13" fillId="0" borderId="8" xfId="0" applyFont="1" applyBorder="1" applyAlignment="1">
      <alignment horizontal="center"/>
    </xf>
    <xf numFmtId="0" fontId="11" fillId="0" borderId="17" xfId="0" applyNumberFormat="1" applyFont="1" applyBorder="1"/>
    <xf numFmtId="0" fontId="11" fillId="0" borderId="1" xfId="0" applyNumberFormat="1" applyFont="1" applyBorder="1"/>
    <xf numFmtId="0" fontId="11" fillId="0" borderId="27" xfId="0" applyNumberFormat="1" applyFont="1" applyBorder="1"/>
    <xf numFmtId="0" fontId="11" fillId="0" borderId="27" xfId="2" applyNumberFormat="1" applyFont="1" applyBorder="1"/>
    <xf numFmtId="0" fontId="11" fillId="0" borderId="17" xfId="0" applyNumberFormat="1" applyFont="1" applyBorder="1" applyAlignment="1">
      <alignment horizontal="left" indent="1"/>
    </xf>
    <xf numFmtId="0" fontId="11" fillId="0" borderId="17" xfId="0" applyNumberFormat="1" applyFont="1" applyBorder="1" applyAlignment="1">
      <alignment horizontal="left"/>
    </xf>
    <xf numFmtId="43" fontId="11" fillId="0" borderId="1" xfId="1" applyFont="1" applyBorder="1"/>
    <xf numFmtId="43" fontId="11" fillId="0" borderId="27" xfId="1" applyFont="1" applyBorder="1"/>
    <xf numFmtId="164" fontId="11" fillId="0" borderId="27" xfId="2" applyNumberFormat="1" applyFont="1" applyBorder="1"/>
    <xf numFmtId="0" fontId="0" fillId="0" borderId="0" xfId="0" applyBorder="1"/>
    <xf numFmtId="0" fontId="13" fillId="0" borderId="0" xfId="0" applyFont="1"/>
    <xf numFmtId="0" fontId="12" fillId="0" borderId="28" xfId="0" applyFont="1" applyBorder="1"/>
    <xf numFmtId="0" fontId="12" fillId="0" borderId="29" xfId="0" applyFont="1" applyBorder="1"/>
    <xf numFmtId="43" fontId="12" fillId="0" borderId="30" xfId="1" applyFont="1" applyBorder="1"/>
    <xf numFmtId="43" fontId="12" fillId="0" borderId="31" xfId="1" applyFont="1" applyBorder="1"/>
    <xf numFmtId="43" fontId="11" fillId="0" borderId="0" xfId="1" applyFont="1" applyBorder="1"/>
    <xf numFmtId="43" fontId="11" fillId="0" borderId="35" xfId="1" applyFont="1" applyBorder="1"/>
    <xf numFmtId="43" fontId="11" fillId="0" borderId="36" xfId="1" applyFont="1" applyBorder="1"/>
    <xf numFmtId="43" fontId="11" fillId="0" borderId="11" xfId="1" applyFont="1" applyBorder="1"/>
    <xf numFmtId="43" fontId="11" fillId="0" borderId="37" xfId="1" applyFont="1" applyBorder="1"/>
    <xf numFmtId="0" fontId="4" fillId="0" borderId="17" xfId="0" applyNumberFormat="1" applyFont="1" applyBorder="1"/>
    <xf numFmtId="0" fontId="4" fillId="0" borderId="17" xfId="0" applyNumberFormat="1" applyFont="1" applyBorder="1" applyAlignment="1">
      <alignment horizontal="left"/>
    </xf>
    <xf numFmtId="0" fontId="4" fillId="0" borderId="17" xfId="0" applyNumberFormat="1" applyFont="1" applyBorder="1" applyAlignment="1">
      <alignment horizontal="left" indent="1"/>
    </xf>
    <xf numFmtId="43" fontId="11" fillId="0" borderId="38" xfId="1" applyFont="1" applyBorder="1"/>
    <xf numFmtId="0" fontId="10" fillId="0" borderId="31" xfId="0" applyFont="1" applyBorder="1" applyAlignment="1">
      <alignment horizontal="center"/>
    </xf>
    <xf numFmtId="0" fontId="10" fillId="0" borderId="32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43" fontId="11" fillId="0" borderId="39" xfId="1" applyFont="1" applyBorder="1"/>
    <xf numFmtId="43" fontId="11" fillId="0" borderId="40" xfId="1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6"/>
  <sheetViews>
    <sheetView topLeftCell="A22" zoomScale="120" zoomScaleNormal="120" workbookViewId="0">
      <selection activeCell="E48" sqref="E48"/>
    </sheetView>
  </sheetViews>
  <sheetFormatPr defaultRowHeight="11.25" x14ac:dyDescent="0.2"/>
  <cols>
    <col min="1" max="1" width="2.5703125" style="2" bestFit="1" customWidth="1"/>
    <col min="2" max="2" width="34.42578125" style="1" customWidth="1"/>
    <col min="3" max="4" width="10.5703125" style="1" bestFit="1" customWidth="1"/>
    <col min="5" max="6" width="11.7109375" style="1" bestFit="1" customWidth="1"/>
    <col min="7" max="7" width="2.5703125" style="1" bestFit="1" customWidth="1"/>
    <col min="8" max="16384" width="9.140625" style="1"/>
  </cols>
  <sheetData>
    <row r="1" spans="1:7" ht="15" x14ac:dyDescent="0.2">
      <c r="A1" s="1"/>
      <c r="B1" s="5" t="s">
        <v>14</v>
      </c>
      <c r="C1" s="3" t="s">
        <v>21</v>
      </c>
      <c r="E1" s="3"/>
    </row>
    <row r="2" spans="1:7" ht="8.25" customHeight="1" x14ac:dyDescent="0.2">
      <c r="A2" s="5"/>
    </row>
    <row r="3" spans="1:7" s="3" customFormat="1" ht="15" x14ac:dyDescent="0.2">
      <c r="A3" s="6" t="s">
        <v>0</v>
      </c>
      <c r="B3" s="7" t="s">
        <v>22</v>
      </c>
      <c r="D3" s="57" t="s">
        <v>19</v>
      </c>
    </row>
    <row r="4" spans="1:7" s="3" customFormat="1" ht="15" x14ac:dyDescent="0.2">
      <c r="A4" s="6" t="s">
        <v>0</v>
      </c>
      <c r="B4" s="8" t="s">
        <v>12</v>
      </c>
    </row>
    <row r="5" spans="1:7" s="3" customFormat="1" ht="15" x14ac:dyDescent="0.2">
      <c r="A5" s="6" t="s">
        <v>0</v>
      </c>
      <c r="B5" s="8" t="s">
        <v>23</v>
      </c>
    </row>
    <row r="6" spans="1:7" s="12" customFormat="1" ht="9" thickBot="1" x14ac:dyDescent="0.2">
      <c r="A6" s="9"/>
      <c r="B6" s="9"/>
      <c r="C6" s="10">
        <v>5</v>
      </c>
      <c r="D6" s="10">
        <v>6</v>
      </c>
      <c r="E6" s="10">
        <v>7</v>
      </c>
      <c r="F6" s="10">
        <v>8</v>
      </c>
      <c r="G6" s="11"/>
    </row>
    <row r="7" spans="1:7" s="20" customFormat="1" ht="12.95" customHeight="1" thickTop="1" x14ac:dyDescent="0.2">
      <c r="A7" s="13"/>
      <c r="B7" s="14"/>
      <c r="C7" s="15" t="s">
        <v>1</v>
      </c>
      <c r="D7" s="16"/>
      <c r="E7" s="17" t="s">
        <v>2</v>
      </c>
      <c r="F7" s="18"/>
      <c r="G7" s="19"/>
    </row>
    <row r="8" spans="1:7" s="20" customFormat="1" ht="12.95" customHeight="1" x14ac:dyDescent="0.2">
      <c r="A8" s="13"/>
      <c r="B8" s="14"/>
      <c r="C8" s="71" t="s">
        <v>3</v>
      </c>
      <c r="D8" s="73" t="s">
        <v>4</v>
      </c>
      <c r="E8" s="71" t="s">
        <v>3</v>
      </c>
      <c r="F8" s="75" t="s">
        <v>4</v>
      </c>
      <c r="G8" s="19"/>
    </row>
    <row r="9" spans="1:7" s="20" customFormat="1" ht="12.95" customHeight="1" thickBot="1" x14ac:dyDescent="0.25">
      <c r="A9" s="21"/>
      <c r="B9" s="22" t="s">
        <v>5</v>
      </c>
      <c r="C9" s="72"/>
      <c r="D9" s="74"/>
      <c r="E9" s="72"/>
      <c r="F9" s="76"/>
      <c r="G9" s="23"/>
    </row>
    <row r="10" spans="1:7" ht="15.95" customHeight="1" thickTop="1" x14ac:dyDescent="0.2">
      <c r="A10" s="40"/>
      <c r="B10" s="41"/>
      <c r="C10" s="42"/>
      <c r="D10" s="42"/>
      <c r="E10" s="42"/>
      <c r="F10" s="42"/>
      <c r="G10" s="39"/>
    </row>
    <row r="11" spans="1:7" ht="15.95" customHeight="1" x14ac:dyDescent="0.2">
      <c r="A11" s="24">
        <v>11</v>
      </c>
      <c r="B11" s="29" t="s">
        <v>9</v>
      </c>
      <c r="C11" s="30"/>
      <c r="D11" s="30">
        <v>5800</v>
      </c>
      <c r="E11" s="30"/>
      <c r="F11" s="31"/>
      <c r="G11" s="25">
        <v>11</v>
      </c>
    </row>
    <row r="12" spans="1:7" ht="15.95" customHeight="1" x14ac:dyDescent="0.2">
      <c r="A12" s="24">
        <f t="shared" ref="A12:A22" si="0">A11+1</f>
        <v>12</v>
      </c>
      <c r="B12" s="32" t="s">
        <v>10</v>
      </c>
      <c r="C12" s="30">
        <v>750</v>
      </c>
      <c r="D12" s="30"/>
      <c r="E12" s="30"/>
      <c r="F12" s="33"/>
      <c r="G12" s="25">
        <f t="shared" ref="G12:G22" si="1">G11+1</f>
        <v>12</v>
      </c>
    </row>
    <row r="13" spans="1:7" ht="15.95" customHeight="1" x14ac:dyDescent="0.2">
      <c r="A13" s="24">
        <f t="shared" si="0"/>
        <v>13</v>
      </c>
      <c r="B13" s="58" t="s">
        <v>24</v>
      </c>
      <c r="C13" s="27">
        <v>3</v>
      </c>
      <c r="D13" s="27"/>
      <c r="E13" s="27"/>
      <c r="F13" s="28"/>
      <c r="G13" s="25">
        <f t="shared" si="1"/>
        <v>13</v>
      </c>
    </row>
    <row r="14" spans="1:7" ht="15.95" customHeight="1" x14ac:dyDescent="0.2">
      <c r="A14" s="24">
        <f t="shared" si="0"/>
        <v>14</v>
      </c>
      <c r="B14" s="26" t="s">
        <v>6</v>
      </c>
      <c r="C14" s="27">
        <v>610</v>
      </c>
      <c r="D14" s="27"/>
      <c r="E14" s="27"/>
      <c r="F14" s="28"/>
      <c r="G14" s="25">
        <f t="shared" si="1"/>
        <v>14</v>
      </c>
    </row>
    <row r="15" spans="1:7" ht="15.95" customHeight="1" x14ac:dyDescent="0.2">
      <c r="A15" s="24">
        <f t="shared" si="0"/>
        <v>15</v>
      </c>
      <c r="B15" s="29" t="s">
        <v>7</v>
      </c>
      <c r="C15" s="30">
        <v>167</v>
      </c>
      <c r="D15" s="30"/>
      <c r="E15" s="30"/>
      <c r="F15" s="31"/>
      <c r="G15" s="25">
        <f t="shared" si="1"/>
        <v>15</v>
      </c>
    </row>
    <row r="16" spans="1:7" ht="15.95" customHeight="1" x14ac:dyDescent="0.2">
      <c r="A16" s="24"/>
      <c r="B16" s="59" t="s">
        <v>11</v>
      </c>
      <c r="C16" s="60">
        <v>540</v>
      </c>
      <c r="D16" s="60"/>
      <c r="E16" s="60"/>
      <c r="F16" s="61"/>
      <c r="G16" s="25"/>
    </row>
    <row r="17" spans="1:7" ht="15.95" customHeight="1" thickBot="1" x14ac:dyDescent="0.25">
      <c r="A17" s="24">
        <f>A15+1</f>
        <v>16</v>
      </c>
      <c r="B17" s="32" t="s">
        <v>25</v>
      </c>
      <c r="C17" s="34">
        <v>300</v>
      </c>
      <c r="D17" s="34"/>
      <c r="E17" s="34"/>
      <c r="F17" s="35"/>
      <c r="G17" s="25">
        <f>G15+1</f>
        <v>16</v>
      </c>
    </row>
    <row r="18" spans="1:7" ht="15.95" customHeight="1" x14ac:dyDescent="0.2">
      <c r="A18" s="24">
        <f>A17+1</f>
        <v>17</v>
      </c>
      <c r="B18" s="26"/>
      <c r="C18" s="27">
        <f>SUM(C11:C17)</f>
        <v>2370</v>
      </c>
      <c r="D18" s="27">
        <f>SUM(D11:D17)</f>
        <v>5800</v>
      </c>
      <c r="E18" s="27">
        <v>7554</v>
      </c>
      <c r="F18" s="28">
        <v>4124</v>
      </c>
      <c r="G18" s="25">
        <f>G17+1</f>
        <v>17</v>
      </c>
    </row>
    <row r="19" spans="1:7" ht="15.95" customHeight="1" thickBot="1" x14ac:dyDescent="0.25">
      <c r="A19" s="24">
        <f t="shared" si="0"/>
        <v>18</v>
      </c>
      <c r="B19" s="29" t="s">
        <v>13</v>
      </c>
      <c r="C19" s="34">
        <f>D18-C18</f>
        <v>3430</v>
      </c>
      <c r="D19" s="34"/>
      <c r="E19" s="34"/>
      <c r="F19" s="35">
        <f>C19</f>
        <v>3430</v>
      </c>
      <c r="G19" s="25">
        <f t="shared" si="1"/>
        <v>18</v>
      </c>
    </row>
    <row r="20" spans="1:7" ht="15.95" customHeight="1" thickBot="1" x14ac:dyDescent="0.25">
      <c r="A20" s="24">
        <f t="shared" si="0"/>
        <v>19</v>
      </c>
      <c r="B20" s="32"/>
      <c r="C20" s="36">
        <f>SUM(C18:C19)</f>
        <v>5800</v>
      </c>
      <c r="D20" s="36">
        <f>SUM(D18:D19)</f>
        <v>5800</v>
      </c>
      <c r="E20" s="36">
        <f>SUM(E18:E19)</f>
        <v>7554</v>
      </c>
      <c r="F20" s="37">
        <f>SUM(F18:F19)</f>
        <v>7554</v>
      </c>
      <c r="G20" s="25">
        <f t="shared" si="1"/>
        <v>19</v>
      </c>
    </row>
    <row r="21" spans="1:7" ht="15" thickTop="1" x14ac:dyDescent="0.2">
      <c r="A21" s="24">
        <f t="shared" si="0"/>
        <v>20</v>
      </c>
      <c r="B21" s="29"/>
      <c r="C21" s="30"/>
      <c r="D21" s="30"/>
      <c r="E21" s="30"/>
      <c r="F21" s="31"/>
      <c r="G21" s="25">
        <f t="shared" si="1"/>
        <v>20</v>
      </c>
    </row>
    <row r="22" spans="1:7" ht="14.25" x14ac:dyDescent="0.2">
      <c r="A22" s="24">
        <f t="shared" si="0"/>
        <v>21</v>
      </c>
      <c r="B22" s="29"/>
      <c r="C22" s="30"/>
      <c r="D22" s="30"/>
      <c r="E22" s="30"/>
      <c r="F22" s="31"/>
      <c r="G22" s="25">
        <f t="shared" si="1"/>
        <v>21</v>
      </c>
    </row>
    <row r="25" spans="1:7" ht="15" x14ac:dyDescent="0.2">
      <c r="A25" s="1"/>
      <c r="B25" s="5" t="s">
        <v>15</v>
      </c>
      <c r="C25" s="3" t="s">
        <v>21</v>
      </c>
      <c r="E25" s="3"/>
    </row>
    <row r="26" spans="1:7" ht="15" x14ac:dyDescent="0.2">
      <c r="A26" s="5"/>
    </row>
    <row r="27" spans="1:7" ht="15" x14ac:dyDescent="0.2">
      <c r="A27" s="6" t="s">
        <v>0</v>
      </c>
      <c r="B27" s="7" t="s">
        <v>26</v>
      </c>
      <c r="C27" s="3"/>
      <c r="D27" s="3"/>
      <c r="E27" s="3"/>
      <c r="F27" s="3"/>
      <c r="G27" s="3"/>
    </row>
    <row r="28" spans="1:7" ht="15" x14ac:dyDescent="0.2">
      <c r="A28" s="6" t="s">
        <v>0</v>
      </c>
      <c r="B28" s="8" t="s">
        <v>12</v>
      </c>
      <c r="C28" s="3"/>
      <c r="D28" s="3"/>
      <c r="E28" s="3"/>
      <c r="F28" s="3"/>
      <c r="G28" s="3"/>
    </row>
    <row r="29" spans="1:7" ht="15" x14ac:dyDescent="0.2">
      <c r="A29" s="6" t="s">
        <v>0</v>
      </c>
      <c r="B29" s="8" t="s">
        <v>20</v>
      </c>
      <c r="C29" s="3"/>
      <c r="D29" s="3"/>
      <c r="E29" s="3"/>
      <c r="F29" s="3"/>
      <c r="G29" s="3"/>
    </row>
    <row r="30" spans="1:7" ht="12" thickBot="1" x14ac:dyDescent="0.25">
      <c r="A30" s="9"/>
      <c r="B30" s="9"/>
      <c r="C30" s="10">
        <v>5</v>
      </c>
      <c r="D30" s="10">
        <v>6</v>
      </c>
      <c r="E30" s="10">
        <v>7</v>
      </c>
      <c r="F30" s="10">
        <v>8</v>
      </c>
      <c r="G30" s="11"/>
    </row>
    <row r="31" spans="1:7" ht="12.75" thickTop="1" x14ac:dyDescent="0.2">
      <c r="A31" s="13"/>
      <c r="B31" s="14"/>
      <c r="C31" s="15" t="s">
        <v>1</v>
      </c>
      <c r="D31" s="16"/>
      <c r="E31" s="17" t="s">
        <v>2</v>
      </c>
      <c r="F31" s="18"/>
      <c r="G31" s="19"/>
    </row>
    <row r="32" spans="1:7" ht="12" x14ac:dyDescent="0.2">
      <c r="A32" s="13"/>
      <c r="B32" s="14"/>
      <c r="C32" s="71" t="s">
        <v>3</v>
      </c>
      <c r="D32" s="73" t="s">
        <v>4</v>
      </c>
      <c r="E32" s="71" t="s">
        <v>3</v>
      </c>
      <c r="F32" s="75" t="s">
        <v>4</v>
      </c>
      <c r="G32" s="19"/>
    </row>
    <row r="33" spans="1:7" ht="12.75" thickBot="1" x14ac:dyDescent="0.25">
      <c r="A33" s="21"/>
      <c r="B33" s="22" t="s">
        <v>5</v>
      </c>
      <c r="C33" s="72"/>
      <c r="D33" s="74"/>
      <c r="E33" s="72"/>
      <c r="F33" s="76"/>
      <c r="G33" s="23"/>
    </row>
    <row r="34" spans="1:7" ht="15" thickTop="1" x14ac:dyDescent="0.2">
      <c r="A34" s="40"/>
      <c r="B34" s="41"/>
      <c r="C34" s="42"/>
      <c r="D34" s="42"/>
      <c r="E34" s="42"/>
      <c r="F34" s="42"/>
      <c r="G34" s="39"/>
    </row>
    <row r="35" spans="1:7" ht="14.25" x14ac:dyDescent="0.2">
      <c r="A35" s="24">
        <v>11</v>
      </c>
      <c r="B35" s="29" t="s">
        <v>9</v>
      </c>
      <c r="C35" s="30"/>
      <c r="D35" s="30">
        <v>3400</v>
      </c>
      <c r="E35" s="30"/>
      <c r="F35" s="31"/>
      <c r="G35" s="25">
        <v>11</v>
      </c>
    </row>
    <row r="36" spans="1:7" ht="14.25" x14ac:dyDescent="0.2">
      <c r="A36" s="24">
        <f>A35+1</f>
        <v>12</v>
      </c>
      <c r="B36" s="59" t="s">
        <v>10</v>
      </c>
      <c r="C36" s="30">
        <v>225</v>
      </c>
      <c r="D36" s="30"/>
      <c r="E36" s="30"/>
      <c r="F36" s="31"/>
      <c r="G36" s="25">
        <f>G35+1</f>
        <v>12</v>
      </c>
    </row>
    <row r="37" spans="1:7" ht="14.25" x14ac:dyDescent="0.2">
      <c r="A37" s="24">
        <f t="shared" ref="A37:A46" si="2">A36+1</f>
        <v>13</v>
      </c>
      <c r="B37" s="59" t="s">
        <v>24</v>
      </c>
      <c r="C37" s="30">
        <v>1</v>
      </c>
      <c r="D37" s="30"/>
      <c r="E37" s="30"/>
      <c r="F37" s="31"/>
      <c r="G37" s="25">
        <f t="shared" ref="G37:G46" si="3">G36+1</f>
        <v>13</v>
      </c>
    </row>
    <row r="38" spans="1:7" ht="14.25" x14ac:dyDescent="0.2">
      <c r="A38" s="24">
        <f t="shared" si="2"/>
        <v>14</v>
      </c>
      <c r="B38" s="32" t="s">
        <v>6</v>
      </c>
      <c r="C38" s="30">
        <v>340</v>
      </c>
      <c r="D38" s="30"/>
      <c r="E38" s="30"/>
      <c r="F38" s="33"/>
      <c r="G38" s="25">
        <f t="shared" si="3"/>
        <v>14</v>
      </c>
    </row>
    <row r="39" spans="1:7" ht="14.25" x14ac:dyDescent="0.2">
      <c r="A39" s="24">
        <f t="shared" si="2"/>
        <v>15</v>
      </c>
      <c r="B39" s="26" t="s">
        <v>7</v>
      </c>
      <c r="C39" s="27">
        <v>210</v>
      </c>
      <c r="D39" s="27"/>
      <c r="E39" s="27"/>
      <c r="F39" s="28"/>
      <c r="G39" s="25">
        <f t="shared" si="3"/>
        <v>15</v>
      </c>
    </row>
    <row r="40" spans="1:7" ht="14.25" x14ac:dyDescent="0.2">
      <c r="A40" s="24">
        <f t="shared" si="2"/>
        <v>16</v>
      </c>
      <c r="B40" s="29" t="s">
        <v>11</v>
      </c>
      <c r="C40" s="30">
        <v>98</v>
      </c>
      <c r="D40" s="30"/>
      <c r="E40" s="30"/>
      <c r="F40" s="31"/>
      <c r="G40" s="25">
        <f t="shared" si="3"/>
        <v>16</v>
      </c>
    </row>
    <row r="41" spans="1:7" ht="15" thickBot="1" x14ac:dyDescent="0.25">
      <c r="A41" s="24">
        <f t="shared" si="2"/>
        <v>17</v>
      </c>
      <c r="B41" s="32" t="s">
        <v>8</v>
      </c>
      <c r="C41" s="34">
        <v>140</v>
      </c>
      <c r="D41" s="34"/>
      <c r="E41" s="34"/>
      <c r="F41" s="35"/>
      <c r="G41" s="25">
        <f t="shared" si="3"/>
        <v>17</v>
      </c>
    </row>
    <row r="42" spans="1:7" ht="14.25" x14ac:dyDescent="0.2">
      <c r="A42" s="24">
        <f t="shared" si="2"/>
        <v>18</v>
      </c>
      <c r="B42" s="26"/>
      <c r="C42" s="27">
        <f>SUM(C35:C41)</f>
        <v>1014</v>
      </c>
      <c r="D42" s="27">
        <f>SUM(D35:D41)</f>
        <v>3400</v>
      </c>
      <c r="E42" s="27">
        <v>3620</v>
      </c>
      <c r="F42" s="28">
        <v>1234</v>
      </c>
      <c r="G42" s="25">
        <f t="shared" si="3"/>
        <v>18</v>
      </c>
    </row>
    <row r="43" spans="1:7" ht="15" thickBot="1" x14ac:dyDescent="0.25">
      <c r="A43" s="24">
        <f t="shared" si="2"/>
        <v>19</v>
      </c>
      <c r="B43" s="29" t="s">
        <v>13</v>
      </c>
      <c r="C43" s="34">
        <f>D42-C42</f>
        <v>2386</v>
      </c>
      <c r="D43" s="34"/>
      <c r="E43" s="34"/>
      <c r="F43" s="35">
        <f>C43</f>
        <v>2386</v>
      </c>
      <c r="G43" s="25">
        <f t="shared" si="3"/>
        <v>19</v>
      </c>
    </row>
    <row r="44" spans="1:7" ht="15" thickBot="1" x14ac:dyDescent="0.25">
      <c r="A44" s="24">
        <f t="shared" si="2"/>
        <v>20</v>
      </c>
      <c r="B44" s="32"/>
      <c r="C44" s="36">
        <f>SUM(C42:C43)</f>
        <v>3400</v>
      </c>
      <c r="D44" s="36">
        <f>SUM(D42:D43)</f>
        <v>3400</v>
      </c>
      <c r="E44" s="36">
        <f>SUM(E42:E43)</f>
        <v>3620</v>
      </c>
      <c r="F44" s="37">
        <f>SUM(F42:F43)</f>
        <v>3620</v>
      </c>
      <c r="G44" s="25">
        <f t="shared" si="3"/>
        <v>20</v>
      </c>
    </row>
    <row r="45" spans="1:7" ht="15" thickTop="1" x14ac:dyDescent="0.2">
      <c r="A45" s="24">
        <f t="shared" si="2"/>
        <v>21</v>
      </c>
      <c r="B45" s="29"/>
      <c r="C45" s="30"/>
      <c r="D45" s="30"/>
      <c r="E45" s="30"/>
      <c r="F45" s="31"/>
      <c r="G45" s="25">
        <f t="shared" si="3"/>
        <v>21</v>
      </c>
    </row>
    <row r="46" spans="1:7" ht="14.25" x14ac:dyDescent="0.2">
      <c r="A46" s="24">
        <f t="shared" si="2"/>
        <v>22</v>
      </c>
      <c r="B46" s="29"/>
      <c r="C46" s="30"/>
      <c r="D46" s="30"/>
      <c r="E46" s="30"/>
      <c r="F46" s="31"/>
      <c r="G46" s="25">
        <f t="shared" si="3"/>
        <v>22</v>
      </c>
    </row>
  </sheetData>
  <mergeCells count="8">
    <mergeCell ref="C32:C33"/>
    <mergeCell ref="D32:D33"/>
    <mergeCell ref="E32:E33"/>
    <mergeCell ref="F32:F33"/>
    <mergeCell ref="C8:C9"/>
    <mergeCell ref="D8:D9"/>
    <mergeCell ref="E8:E9"/>
    <mergeCell ref="F8:F9"/>
  </mergeCells>
  <phoneticPr fontId="2" type="noConversion"/>
  <printOptions horizontalCentered="1"/>
  <pageMargins left="0.12" right="0.14000000000000001" top="0.5" bottom="0.5" header="0.25" footer="0.25"/>
  <pageSetup pageOrder="overThenDown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49"/>
  <sheetViews>
    <sheetView tabSelected="1" workbookViewId="0">
      <selection activeCell="C47" sqref="C47"/>
    </sheetView>
  </sheetViews>
  <sheetFormatPr defaultRowHeight="12.75" x14ac:dyDescent="0.2"/>
  <cols>
    <col min="1" max="1" width="43.140625" customWidth="1"/>
    <col min="2" max="3" width="11.5703125" bestFit="1" customWidth="1"/>
  </cols>
  <sheetData>
    <row r="1" spans="1:4" ht="15.75" x14ac:dyDescent="0.25">
      <c r="A1" t="s">
        <v>14</v>
      </c>
      <c r="B1" t="s">
        <v>18</v>
      </c>
      <c r="C1" s="4" t="s">
        <v>28</v>
      </c>
    </row>
    <row r="2" spans="1:4" x14ac:dyDescent="0.2">
      <c r="A2" t="s">
        <v>21</v>
      </c>
    </row>
    <row r="3" spans="1:4" x14ac:dyDescent="0.2">
      <c r="A3" s="57"/>
    </row>
    <row r="4" spans="1:4" x14ac:dyDescent="0.2">
      <c r="A4" s="78" t="s">
        <v>22</v>
      </c>
      <c r="B4" s="78"/>
      <c r="C4" s="78"/>
      <c r="D4" s="78"/>
    </row>
    <row r="5" spans="1:4" x14ac:dyDescent="0.2">
      <c r="A5" s="77" t="s">
        <v>16</v>
      </c>
      <c r="B5" s="77"/>
      <c r="C5" s="77"/>
      <c r="D5" s="77"/>
    </row>
    <row r="6" spans="1:4" x14ac:dyDescent="0.2">
      <c r="A6" s="77" t="s">
        <v>23</v>
      </c>
      <c r="B6" s="77"/>
      <c r="C6" s="77"/>
      <c r="D6" s="77"/>
    </row>
    <row r="7" spans="1:4" ht="6.75" customHeight="1" thickBot="1" x14ac:dyDescent="0.25">
      <c r="A7" s="43"/>
      <c r="B7" s="43"/>
      <c r="C7" s="43"/>
      <c r="D7" s="43"/>
    </row>
    <row r="8" spans="1:4" ht="29.25" customHeight="1" thickTop="1" x14ac:dyDescent="0.2">
      <c r="A8" s="46"/>
      <c r="B8" s="44"/>
      <c r="C8" s="44"/>
      <c r="D8" s="45" t="s">
        <v>17</v>
      </c>
    </row>
    <row r="9" spans="1:4" ht="15" x14ac:dyDescent="0.2">
      <c r="A9" s="47" t="s">
        <v>29</v>
      </c>
      <c r="B9" s="53"/>
      <c r="C9" s="54"/>
      <c r="D9" s="50"/>
    </row>
    <row r="10" spans="1:4" ht="15" x14ac:dyDescent="0.2">
      <c r="A10" s="51" t="s">
        <v>9</v>
      </c>
      <c r="B10" s="53"/>
      <c r="C10" s="54">
        <f>'Work Sheets'!D11</f>
        <v>5800</v>
      </c>
      <c r="D10" s="55">
        <f>C10/C10</f>
        <v>1</v>
      </c>
    </row>
    <row r="11" spans="1:4" ht="15" x14ac:dyDescent="0.2">
      <c r="A11" s="52" t="s">
        <v>30</v>
      </c>
      <c r="B11" s="53"/>
      <c r="C11" s="54"/>
      <c r="D11" s="55"/>
    </row>
    <row r="12" spans="1:4" ht="15" x14ac:dyDescent="0.2">
      <c r="A12" s="51" t="str">
        <f>'Work Sheets'!B12</f>
        <v>Advertising Expense</v>
      </c>
      <c r="B12" s="53" cm="1">
        <f t="array" ref="B12:B17">'Work Sheets'!C12:C17</f>
        <v>750</v>
      </c>
      <c r="C12" s="54"/>
      <c r="D12" s="55"/>
    </row>
    <row r="13" spans="1:4" ht="15" x14ac:dyDescent="0.2">
      <c r="A13" s="51" t="str">
        <f>'Work Sheets'!B13</f>
        <v>Cash Short and Over</v>
      </c>
      <c r="B13" s="53">
        <v>3</v>
      </c>
      <c r="C13" s="54"/>
      <c r="D13" s="55"/>
    </row>
    <row r="14" spans="1:4" ht="15" x14ac:dyDescent="0.2">
      <c r="A14" s="51" t="str">
        <f>'Work Sheets'!B14</f>
        <v>Insurance Expense</v>
      </c>
      <c r="B14" s="53">
        <v>610</v>
      </c>
      <c r="C14" s="54"/>
      <c r="D14" s="55"/>
    </row>
    <row r="15" spans="1:4" ht="15" x14ac:dyDescent="0.2">
      <c r="A15" s="51" t="str">
        <f>'Work Sheets'!B15</f>
        <v>Miscellaneous Expense</v>
      </c>
      <c r="B15" s="53">
        <v>167</v>
      </c>
      <c r="C15" s="54"/>
      <c r="D15" s="55"/>
    </row>
    <row r="16" spans="1:4" ht="15" x14ac:dyDescent="0.2">
      <c r="A16" s="51" t="str">
        <f>'Work Sheets'!B16</f>
        <v>Supplies Expense</v>
      </c>
      <c r="B16" s="62">
        <v>540</v>
      </c>
      <c r="C16" s="54"/>
      <c r="D16" s="55"/>
    </row>
    <row r="17" spans="1:7" ht="15.75" thickBot="1" x14ac:dyDescent="0.25">
      <c r="A17" s="51" t="str">
        <f>'Work Sheets'!B17</f>
        <v>Utilties Expense</v>
      </c>
      <c r="B17" s="63">
        <v>300</v>
      </c>
      <c r="C17" s="54"/>
      <c r="D17" s="55"/>
    </row>
    <row r="18" spans="1:7" ht="15.75" thickBot="1" x14ac:dyDescent="0.25">
      <c r="A18" s="51" t="s">
        <v>31</v>
      </c>
      <c r="B18" s="64"/>
      <c r="C18" s="79">
        <v>2370</v>
      </c>
      <c r="D18" s="55">
        <f>C18/C10</f>
        <v>0.4086206896551724</v>
      </c>
    </row>
    <row r="19" spans="1:7" ht="15.75" thickBot="1" x14ac:dyDescent="0.25">
      <c r="A19" s="52" t="str">
        <f>'Work Sheets'!B19</f>
        <v>Net Income</v>
      </c>
      <c r="B19" s="65"/>
      <c r="C19" s="66">
        <f>C10-C18</f>
        <v>3430</v>
      </c>
      <c r="D19" s="55">
        <f>C19/C10</f>
        <v>0.5913793103448276</v>
      </c>
    </row>
    <row r="20" spans="1:7" ht="15.75" thickTop="1" x14ac:dyDescent="0.2">
      <c r="A20" s="51"/>
      <c r="B20" s="48"/>
      <c r="C20" s="49"/>
      <c r="D20" s="50"/>
    </row>
    <row r="21" spans="1:7" ht="15" x14ac:dyDescent="0.2">
      <c r="A21" s="51"/>
      <c r="B21" s="48"/>
      <c r="C21" s="49"/>
      <c r="D21" s="50"/>
    </row>
    <row r="22" spans="1:7" ht="15" x14ac:dyDescent="0.2">
      <c r="A22" s="51"/>
      <c r="B22" s="48"/>
      <c r="C22" s="49"/>
      <c r="D22" s="50"/>
    </row>
    <row r="23" spans="1:7" ht="15" x14ac:dyDescent="0.2">
      <c r="A23" s="51"/>
      <c r="B23" s="48"/>
      <c r="C23" s="49"/>
      <c r="D23" s="50"/>
    </row>
    <row r="24" spans="1:7" ht="15" x14ac:dyDescent="0.2">
      <c r="A24" s="51"/>
      <c r="B24" s="48"/>
      <c r="C24" s="49"/>
      <c r="D24" s="50"/>
    </row>
    <row r="26" spans="1:7" ht="15.75" x14ac:dyDescent="0.25">
      <c r="A26" t="s">
        <v>15</v>
      </c>
      <c r="B26" s="56"/>
      <c r="C26" s="38"/>
      <c r="G26" s="3" t="s">
        <v>0</v>
      </c>
    </row>
    <row r="27" spans="1:7" x14ac:dyDescent="0.2">
      <c r="A27" t="s">
        <v>27</v>
      </c>
    </row>
    <row r="29" spans="1:7" x14ac:dyDescent="0.2">
      <c r="A29" s="78" t="s">
        <v>26</v>
      </c>
      <c r="B29" s="78"/>
      <c r="C29" s="78"/>
      <c r="D29" s="78"/>
    </row>
    <row r="30" spans="1:7" x14ac:dyDescent="0.2">
      <c r="A30" s="77" t="s">
        <v>16</v>
      </c>
      <c r="B30" s="77"/>
      <c r="C30" s="77"/>
      <c r="D30" s="77"/>
    </row>
    <row r="31" spans="1:7" x14ac:dyDescent="0.2">
      <c r="A31" s="77" t="s">
        <v>20</v>
      </c>
      <c r="B31" s="77"/>
      <c r="C31" s="77"/>
      <c r="D31" s="77"/>
    </row>
    <row r="32" spans="1:7" ht="13.5" thickBot="1" x14ac:dyDescent="0.25">
      <c r="A32" s="43"/>
      <c r="B32" s="43"/>
      <c r="C32" s="43"/>
      <c r="D32" s="43"/>
    </row>
    <row r="33" spans="1:4" ht="26.25" thickTop="1" x14ac:dyDescent="0.2">
      <c r="A33" s="46"/>
      <c r="B33" s="44"/>
      <c r="C33" s="44"/>
      <c r="D33" s="45" t="s">
        <v>17</v>
      </c>
    </row>
    <row r="34" spans="1:4" ht="15" x14ac:dyDescent="0.2">
      <c r="A34" s="67" t="s">
        <v>32</v>
      </c>
      <c r="B34" s="53"/>
      <c r="C34" s="54"/>
      <c r="D34" s="50"/>
    </row>
    <row r="35" spans="1:4" ht="15" x14ac:dyDescent="0.2">
      <c r="A35" s="51" t="str">
        <f>'Work Sheets'!B35</f>
        <v>Sales</v>
      </c>
      <c r="B35" s="53"/>
      <c r="C35" s="54">
        <f>'Work Sheets'!D35</f>
        <v>3400</v>
      </c>
      <c r="D35" s="55">
        <f>C35/C35</f>
        <v>1</v>
      </c>
    </row>
    <row r="36" spans="1:4" ht="15" x14ac:dyDescent="0.2">
      <c r="A36" s="68" t="s">
        <v>30</v>
      </c>
      <c r="B36" s="53"/>
      <c r="C36" s="54"/>
      <c r="D36" s="55"/>
    </row>
    <row r="37" spans="1:4" ht="15" x14ac:dyDescent="0.2">
      <c r="A37" s="59" t="str">
        <f>'Work Sheets'!B36</f>
        <v>Advertising Expense</v>
      </c>
      <c r="B37" s="30">
        <v>225</v>
      </c>
      <c r="C37" s="54"/>
      <c r="D37" s="55"/>
    </row>
    <row r="38" spans="1:4" ht="15" x14ac:dyDescent="0.2">
      <c r="A38" s="59" t="str">
        <f>'Work Sheets'!B37</f>
        <v>Cash Short and Over</v>
      </c>
      <c r="B38" s="30">
        <v>1</v>
      </c>
      <c r="C38" s="54"/>
      <c r="D38" s="55"/>
    </row>
    <row r="39" spans="1:4" ht="15" x14ac:dyDescent="0.2">
      <c r="A39" s="32" t="str">
        <f>'Work Sheets'!B38</f>
        <v>Insurance Expense</v>
      </c>
      <c r="B39" s="30">
        <v>340</v>
      </c>
      <c r="C39" s="54"/>
      <c r="D39" s="55"/>
    </row>
    <row r="40" spans="1:4" ht="15" x14ac:dyDescent="0.2">
      <c r="A40" s="26" t="str">
        <f>'Work Sheets'!B39</f>
        <v>Miscellaneous Expense</v>
      </c>
      <c r="B40" s="27">
        <v>210</v>
      </c>
      <c r="C40" s="54"/>
      <c r="D40" s="55"/>
    </row>
    <row r="41" spans="1:4" ht="15" x14ac:dyDescent="0.2">
      <c r="A41" s="29" t="str">
        <f>'Work Sheets'!B40</f>
        <v>Supplies Expense</v>
      </c>
      <c r="B41" s="30">
        <v>98</v>
      </c>
      <c r="C41" s="54"/>
      <c r="D41" s="55"/>
    </row>
    <row r="42" spans="1:4" ht="15.75" thickBot="1" x14ac:dyDescent="0.25">
      <c r="A42" s="32" t="str">
        <f>'Work Sheets'!B41</f>
        <v>Utilities Expense</v>
      </c>
      <c r="B42" s="34">
        <v>140</v>
      </c>
      <c r="C42" s="54"/>
      <c r="D42" s="55"/>
    </row>
    <row r="43" spans="1:4" ht="15.75" thickBot="1" x14ac:dyDescent="0.25">
      <c r="A43" s="69" t="s">
        <v>31</v>
      </c>
      <c r="B43" s="53"/>
      <c r="C43" s="80">
        <f>B37+B38+B39+B40+B41+B42</f>
        <v>1014</v>
      </c>
      <c r="D43" s="55">
        <f>C43/C35</f>
        <v>0.29823529411764704</v>
      </c>
    </row>
    <row r="44" spans="1:4" ht="15.75" thickBot="1" x14ac:dyDescent="0.25">
      <c r="A44" s="68" t="s">
        <v>13</v>
      </c>
      <c r="B44" s="70"/>
      <c r="C44" s="66">
        <f>C35-C43</f>
        <v>2386</v>
      </c>
      <c r="D44" s="55">
        <f>C44/C35</f>
        <v>0.70176470588235296</v>
      </c>
    </row>
    <row r="45" spans="1:4" ht="15.75" thickTop="1" x14ac:dyDescent="0.2">
      <c r="A45" s="51"/>
      <c r="B45" s="48"/>
      <c r="C45" s="49"/>
      <c r="D45" s="50"/>
    </row>
    <row r="46" spans="1:4" ht="15" x14ac:dyDescent="0.2">
      <c r="A46" s="51"/>
      <c r="B46" s="48"/>
      <c r="C46" s="49"/>
      <c r="D46" s="50"/>
    </row>
    <row r="47" spans="1:4" ht="15" x14ac:dyDescent="0.2">
      <c r="A47" s="51"/>
      <c r="B47" s="48"/>
      <c r="C47" s="49"/>
      <c r="D47" s="50"/>
    </row>
    <row r="48" spans="1:4" ht="15" x14ac:dyDescent="0.2">
      <c r="A48" s="51"/>
      <c r="B48" s="48"/>
      <c r="C48" s="49"/>
      <c r="D48" s="50"/>
    </row>
    <row r="49" spans="1:4" ht="15" x14ac:dyDescent="0.2">
      <c r="A49" s="51"/>
      <c r="B49" s="48"/>
      <c r="C49" s="49"/>
      <c r="D49" s="50"/>
    </row>
  </sheetData>
  <mergeCells count="6">
    <mergeCell ref="A31:D31"/>
    <mergeCell ref="A4:D4"/>
    <mergeCell ref="A5:D5"/>
    <mergeCell ref="A6:D6"/>
    <mergeCell ref="A29:D29"/>
    <mergeCell ref="A30:D30"/>
  </mergeCells>
  <printOptions horizontalCentered="1"/>
  <pageMargins left="0.34" right="0.21" top="0.68" bottom="1" header="0.5" footer="0.5"/>
  <pageSetup orientation="portrait" horizontalDpi="4294967293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D3E27D-600C-4B99-9B49-7B713124FEB8}">
  <ds:schemaRefs>
    <ds:schemaRef ds:uri="http://purl.org/dc/terms/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d5bf7610-0a90-45dc-b926-1b234e6c6756"/>
    <ds:schemaRef ds:uri="d758baea-510e-4597-bb40-a09e4fc0f415"/>
  </ds:schemaRefs>
</ds:datastoreItem>
</file>

<file path=customXml/itemProps2.xml><?xml version="1.0" encoding="utf-8"?>
<ds:datastoreItem xmlns:ds="http://schemas.openxmlformats.org/officeDocument/2006/customXml" ds:itemID="{5D3937CA-B5BD-4C70-81DD-B9CC794FB6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3A51EA-8CE1-4F18-9343-DADCE7E110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Work Sheets</vt:lpstr>
      <vt:lpstr>Income Statements</vt:lpstr>
      <vt:lpstr>'Work Sheets'!Print_Area</vt:lpstr>
      <vt:lpstr>'Work Sheets'!Print_Titles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2009-12-08T19:52:36Z</cp:lastPrinted>
  <dcterms:created xsi:type="dcterms:W3CDTF">2007-12-01T01:11:46Z</dcterms:created>
  <dcterms:modified xsi:type="dcterms:W3CDTF">2023-11-29T17:01:50Z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11200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