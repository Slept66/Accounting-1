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7/"/>
    </mc:Choice>
  </mc:AlternateContent>
  <xr:revisionPtr revIDLastSave="0" documentId="8_{07372A20-4FD5-489E-8DB4-56F5A1D6C6B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Income-Balance" sheetId="17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" i="17" l="1"/>
  <c r="I12" i="17"/>
  <c r="G16" i="17"/>
  <c r="D19" i="17"/>
  <c r="D11" i="17"/>
  <c r="C19" i="17"/>
  <c r="D20" i="17" s="1"/>
  <c r="C20" i="17" l="1"/>
  <c r="H1" i="17" l="1"/>
</calcChain>
</file>

<file path=xl/sharedStrings.xml><?xml version="1.0" encoding="utf-8"?>
<sst xmlns="http://schemas.openxmlformats.org/spreadsheetml/2006/main" count="39" uniqueCount="36">
  <si>
    <t>Accounting 1 Mastery Problem</t>
  </si>
  <si>
    <t>Name:</t>
  </si>
  <si>
    <t>page 209</t>
  </si>
  <si>
    <t xml:space="preserve"> 5 points</t>
  </si>
  <si>
    <t>% of
Sales</t>
  </si>
  <si>
    <t>`</t>
  </si>
  <si>
    <t>Dhruv Patil</t>
  </si>
  <si>
    <t xml:space="preserve">Eiler Copy Service </t>
  </si>
  <si>
    <t xml:space="preserve">Income Statement </t>
  </si>
  <si>
    <t>For Month Ended Sept 30, 20-</t>
  </si>
  <si>
    <t>Revenue:</t>
  </si>
  <si>
    <t>Sales</t>
  </si>
  <si>
    <t>Expenses:</t>
  </si>
  <si>
    <t>Adverting Expense</t>
  </si>
  <si>
    <t>Cash Short and Over</t>
  </si>
  <si>
    <t>Insurance Expense</t>
  </si>
  <si>
    <t>Miscellaneous Expense</t>
  </si>
  <si>
    <t>Supplies Expense</t>
  </si>
  <si>
    <t>Utilities Expense</t>
  </si>
  <si>
    <t>Total Expense</t>
  </si>
  <si>
    <t>Net Loss</t>
  </si>
  <si>
    <t xml:space="preserve">Eliler Copy Service </t>
  </si>
  <si>
    <t>Balance Sheet</t>
  </si>
  <si>
    <t xml:space="preserve">Assets </t>
  </si>
  <si>
    <t xml:space="preserve">Liabilities </t>
  </si>
  <si>
    <t>Cash</t>
  </si>
  <si>
    <t>Petty Cash</t>
  </si>
  <si>
    <t>Accts. Rec. - S. Romano</t>
  </si>
  <si>
    <t>Supplies</t>
  </si>
  <si>
    <t>Prepaid Insurance</t>
  </si>
  <si>
    <t xml:space="preserve">Total Assets </t>
  </si>
  <si>
    <t>Accts. Pay. - Supplies Plus</t>
  </si>
  <si>
    <t>Total Liabilities</t>
  </si>
  <si>
    <t xml:space="preserve">Owners Equity </t>
  </si>
  <si>
    <t>Cheryl Eiler, Capital</t>
  </si>
  <si>
    <t>Total Liabilities and Owners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</si>
</sst>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[$-409]mmmm\ d\,\ yyyy;@"/>
  </numFmts>
  <fonts count="7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  <family val="2"/>
    </font>
    <font>
      <b/>
      <sz val="12"/>
      <name val="Arial"/>
      <family val="2"/>
    </font>
    <font>
      <sz val="12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4" fillId="0" borderId="1" xfId="0" applyFont="1" applyBorder="1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 wrapText="1"/>
    </xf>
    <xf numFmtId="0" fontId="6" fillId="0" borderId="5" xfId="0" applyFont="1" applyBorder="1" applyAlignment="1">
      <alignment horizontal="center"/>
    </xf>
    <xf numFmtId="0" fontId="5" fillId="0" borderId="1" xfId="0" applyFont="1" applyBorder="1"/>
    <xf numFmtId="0" fontId="5" fillId="0" borderId="7" xfId="0" applyFont="1" applyBorder="1"/>
    <xf numFmtId="0" fontId="5" fillId="0" borderId="7" xfId="2" applyNumberFormat="1" applyFont="1" applyBorder="1"/>
    <xf numFmtId="0" fontId="5" fillId="0" borderId="6" xfId="0" applyFont="1" applyBorder="1" applyAlignment="1">
      <alignment horizontal="left" indent="1"/>
    </xf>
    <xf numFmtId="0" fontId="5" fillId="0" borderId="6" xfId="0" applyFont="1" applyBorder="1" applyAlignment="1">
      <alignment horizontal="left"/>
    </xf>
    <xf numFmtId="43" fontId="5" fillId="0" borderId="1" xfId="1" applyFont="1" applyBorder="1"/>
    <xf numFmtId="43" fontId="5" fillId="0" borderId="7" xfId="1" applyFont="1" applyBorder="1"/>
    <xf numFmtId="164" fontId="5" fillId="0" borderId="7" xfId="2" applyNumberFormat="1" applyFont="1" applyBorder="1"/>
    <xf numFmtId="43" fontId="5" fillId="0" borderId="9" xfId="1" applyFont="1" applyBorder="1"/>
    <xf numFmtId="43" fontId="5" fillId="0" borderId="10" xfId="1" applyFont="1" applyBorder="1"/>
    <xf numFmtId="0" fontId="5" fillId="0" borderId="7" xfId="1" applyNumberFormat="1" applyFont="1" applyBorder="1"/>
    <xf numFmtId="0" fontId="5" fillId="0" borderId="10" xfId="1" applyNumberFormat="1" applyFont="1" applyBorder="1"/>
    <xf numFmtId="43" fontId="5" fillId="0" borderId="11" xfId="1" applyFont="1" applyBorder="1"/>
    <xf numFmtId="0" fontId="6" fillId="0" borderId="0" xfId="0" applyFont="1"/>
    <xf numFmtId="43" fontId="5" fillId="0" borderId="4" xfId="1" applyFont="1" applyBorder="1"/>
    <xf numFmtId="0" fontId="3" fillId="0" borderId="6" xfId="0" applyFont="1" applyBorder="1" applyAlignment="1">
      <alignment horizontal="left"/>
    </xf>
    <xf numFmtId="43" fontId="3" fillId="0" borderId="7" xfId="1" applyFont="1" applyBorder="1" applyAlignment="1">
      <alignment horizontal="left"/>
    </xf>
    <xf numFmtId="0" fontId="3" fillId="0" borderId="7" xfId="1" applyNumberFormat="1" applyFont="1" applyBorder="1" applyAlignment="1">
      <alignment horizontal="left"/>
    </xf>
    <xf numFmtId="43" fontId="5" fillId="0" borderId="12" xfId="1" applyFont="1" applyBorder="1"/>
    <xf numFmtId="0" fontId="0" fillId="0" borderId="10" xfId="0" applyBorder="1"/>
    <xf numFmtId="0" fontId="4" fillId="0" borderId="1" xfId="0" applyFont="1" applyBorder="1" applyAlignment="1">
      <alignment horizontal="left"/>
    </xf>
    <xf numFmtId="0" fontId="5" fillId="0" borderId="10" xfId="2" applyNumberFormat="1" applyFont="1" applyBorder="1"/>
    <xf numFmtId="0" fontId="4" fillId="0" borderId="1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6" xfId="0" applyFont="1" applyBorder="1"/>
    <xf numFmtId="0" fontId="3" fillId="0" borderId="6" xfId="0" applyFont="1" applyBorder="1" applyAlignment="1">
      <alignment horizontal="left" indent="1"/>
    </xf>
    <xf numFmtId="165" fontId="4" fillId="0" borderId="13" xfId="0" applyNumberFormat="1" applyFont="1" applyBorder="1" applyAlignment="1">
      <alignment horizontal="center"/>
    </xf>
    <xf numFmtId="0" fontId="3" fillId="0" borderId="7" xfId="1" applyNumberFormat="1" applyFont="1" applyBorder="1"/>
    <xf numFmtId="0" fontId="4" fillId="0" borderId="6" xfId="0" applyFont="1" applyBorder="1" applyAlignment="1">
      <alignment horizontal="center"/>
    </xf>
    <xf numFmtId="0" fontId="4" fillId="0" borderId="7" xfId="1" applyNumberFormat="1" applyFont="1" applyBorder="1" applyAlignment="1">
      <alignment horizontal="center"/>
    </xf>
    <xf numFmtId="43" fontId="5" fillId="0" borderId="14" xfId="1" applyFont="1" applyBorder="1"/>
    <xf numFmtId="43" fontId="5" fillId="0" borderId="15" xfId="1" applyFont="1" applyBorder="1"/>
    <xf numFmtId="0" fontId="5" fillId="0" borderId="16" xfId="0" applyFont="1" applyBorder="1"/>
    <xf numFmtId="43" fontId="5" fillId="0" borderId="8" xfId="0" applyNumberFormat="1" applyFont="1" applyBorder="1"/>
    <xf numFmtId="43" fontId="5" fillId="0" borderId="17" xfId="1" applyNumberFormat="1" applyFont="1" applyBorder="1"/>
    <xf numFmtId="0" fontId="4" fillId="0" borderId="10" xfId="0" applyFont="1" applyBorder="1" applyAlignment="1">
      <alignment horizontal="center"/>
    </xf>
    <xf numFmtId="0" fontId="5" fillId="0" borderId="12" xfId="2" applyNumberFormat="1" applyFont="1" applyBorder="1"/>
    <xf numFmtId="43" fontId="5" fillId="0" borderId="17" xfId="2" applyNumberFormat="1" applyFont="1" applyBorder="1"/>
    <xf numFmtId="0" fontId="3" fillId="0" borderId="10" xfId="1" applyNumberFormat="1" applyFont="1" applyBorder="1"/>
    <xf numFmtId="43" fontId="5" fillId="0" borderId="12" xfId="2" applyNumberFormat="1" applyFont="1" applyBorder="1"/>
    <xf numFmtId="164" fontId="5" fillId="0" borderId="18" xfId="2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4"/>
  <sheetViews>
    <sheetView tabSelected="1" workbookViewId="0">
      <selection activeCell="F24" sqref="F24"/>
    </sheetView>
  </sheetViews>
  <sheetFormatPr defaultRowHeight="12.75" x14ac:dyDescent="0.2"/>
  <cols>
    <col min="1" max="1" width="43.140625" customWidth="1"/>
    <col min="2" max="2" width="11.5703125" bestFit="1" customWidth="1"/>
    <col min="3" max="3" width="12.28515625" bestFit="1" customWidth="1"/>
    <col min="4" max="4" width="10.28515625" bestFit="1" customWidth="1"/>
    <col min="5" max="5" width="4.140625" customWidth="1"/>
    <col min="6" max="6" width="33.28515625" customWidth="1"/>
    <col min="7" max="7" width="12.85546875" customWidth="1"/>
    <col min="8" max="8" width="33.28515625" customWidth="1"/>
    <col min="9" max="9" width="12.85546875" customWidth="1"/>
  </cols>
  <sheetData>
    <row r="1" spans="1:9" ht="15.75" x14ac:dyDescent="0.25">
      <c r="A1" t="s">
        <v>0</v>
      </c>
      <c r="B1" t="s">
        <v>1</v>
      </c>
      <c r="C1" s="1" t="s">
        <v>6</v>
      </c>
      <c r="F1" t="s">
        <v>0</v>
      </c>
      <c r="G1" t="s">
        <v>1</v>
      </c>
      <c r="H1" s="26" t="str">
        <f>C1</f>
        <v>Dhruv Patil</v>
      </c>
    </row>
    <row r="2" spans="1:9" x14ac:dyDescent="0.2">
      <c r="A2" t="s">
        <v>2</v>
      </c>
      <c r="B2" s="19" t="s">
        <v>3</v>
      </c>
      <c r="F2" t="s">
        <v>2</v>
      </c>
    </row>
    <row r="3" spans="1:9" x14ac:dyDescent="0.2">
      <c r="A3" s="19"/>
    </row>
    <row r="5" spans="1:9" ht="15.75" x14ac:dyDescent="0.25">
      <c r="A5" s="28" t="s">
        <v>7</v>
      </c>
      <c r="B5" s="28"/>
      <c r="C5" s="28"/>
      <c r="D5" s="28"/>
      <c r="F5" s="28" t="s">
        <v>21</v>
      </c>
      <c r="G5" s="28"/>
      <c r="H5" s="28"/>
      <c r="I5" s="28"/>
    </row>
    <row r="6" spans="1:9" ht="15.75" x14ac:dyDescent="0.25">
      <c r="A6" s="29" t="s">
        <v>8</v>
      </c>
      <c r="B6" s="29"/>
      <c r="C6" s="29"/>
      <c r="D6" s="29"/>
      <c r="F6" s="29" t="s">
        <v>22</v>
      </c>
      <c r="G6" s="29"/>
      <c r="H6" s="29"/>
      <c r="I6" s="29"/>
    </row>
    <row r="7" spans="1:9" ht="15.75" x14ac:dyDescent="0.25">
      <c r="A7" s="29" t="s">
        <v>9</v>
      </c>
      <c r="B7" s="29"/>
      <c r="C7" s="29"/>
      <c r="D7" s="29"/>
      <c r="F7" s="32">
        <v>45199</v>
      </c>
      <c r="G7" s="32"/>
      <c r="H7" s="32"/>
      <c r="I7" s="32"/>
    </row>
    <row r="8" spans="1:9" ht="6.75" customHeight="1" thickBot="1" x14ac:dyDescent="0.25">
      <c r="A8" s="2"/>
      <c r="B8" s="2"/>
      <c r="C8" s="2"/>
      <c r="D8" s="2"/>
      <c r="F8" s="2"/>
      <c r="G8" s="2"/>
      <c r="H8" s="2"/>
      <c r="I8" s="2"/>
    </row>
    <row r="9" spans="1:9" ht="29.25" customHeight="1" thickTop="1" x14ac:dyDescent="0.2">
      <c r="A9" s="5"/>
      <c r="B9" s="3"/>
      <c r="C9" s="3"/>
      <c r="D9" s="4" t="s">
        <v>4</v>
      </c>
      <c r="F9" s="21"/>
      <c r="G9" s="20"/>
      <c r="H9" s="22"/>
      <c r="I9" s="8"/>
    </row>
    <row r="10" spans="1:9" ht="15.75" x14ac:dyDescent="0.25">
      <c r="A10" s="30" t="s">
        <v>10</v>
      </c>
      <c r="B10" s="11"/>
      <c r="C10" s="12"/>
      <c r="D10" s="8"/>
      <c r="F10" s="34" t="s">
        <v>23</v>
      </c>
      <c r="G10" s="12"/>
      <c r="H10" s="35" t="s">
        <v>24</v>
      </c>
      <c r="I10" s="12"/>
    </row>
    <row r="11" spans="1:9" ht="15.75" thickBot="1" x14ac:dyDescent="0.25">
      <c r="A11" s="31" t="s">
        <v>11</v>
      </c>
      <c r="B11" s="11"/>
      <c r="C11" s="12">
        <v>1635</v>
      </c>
      <c r="D11" s="13">
        <f>C11/C11</f>
        <v>1</v>
      </c>
      <c r="F11" s="21" t="s">
        <v>25</v>
      </c>
      <c r="G11" s="12">
        <v>3480</v>
      </c>
      <c r="H11" s="23" t="s">
        <v>31</v>
      </c>
      <c r="I11" s="42">
        <v>306</v>
      </c>
    </row>
    <row r="12" spans="1:9" ht="15.75" thickTop="1" x14ac:dyDescent="0.2">
      <c r="A12" s="21" t="s">
        <v>12</v>
      </c>
      <c r="B12" s="11"/>
      <c r="C12" s="12"/>
      <c r="D12" s="13"/>
      <c r="F12" s="21" t="s">
        <v>26</v>
      </c>
      <c r="G12" s="12">
        <v>75</v>
      </c>
      <c r="H12" s="33" t="s">
        <v>32</v>
      </c>
      <c r="I12" s="43">
        <f>I11</f>
        <v>306</v>
      </c>
    </row>
    <row r="13" spans="1:9" ht="15.75" x14ac:dyDescent="0.25">
      <c r="A13" s="31" t="s">
        <v>13</v>
      </c>
      <c r="B13" s="11">
        <v>225</v>
      </c>
      <c r="C13" s="12"/>
      <c r="D13" s="13"/>
      <c r="F13" s="21" t="s">
        <v>27</v>
      </c>
      <c r="G13" s="12">
        <v>98</v>
      </c>
      <c r="H13" s="41" t="s">
        <v>33</v>
      </c>
      <c r="I13" s="25"/>
    </row>
    <row r="14" spans="1:9" ht="15" x14ac:dyDescent="0.2">
      <c r="A14" s="31" t="s">
        <v>14</v>
      </c>
      <c r="B14" s="11">
        <v>1</v>
      </c>
      <c r="C14" s="12"/>
      <c r="D14" s="13"/>
      <c r="F14" s="21" t="s">
        <v>28</v>
      </c>
      <c r="G14" s="15">
        <v>390</v>
      </c>
      <c r="H14" s="33" t="s">
        <v>34</v>
      </c>
      <c r="I14" s="27">
        <v>4137</v>
      </c>
    </row>
    <row r="15" spans="1:9" ht="15.75" thickBot="1" x14ac:dyDescent="0.25">
      <c r="A15" s="31" t="s">
        <v>15</v>
      </c>
      <c r="B15" s="11">
        <v>78</v>
      </c>
      <c r="C15" s="12"/>
      <c r="D15" s="13"/>
      <c r="F15" s="21" t="s">
        <v>29</v>
      </c>
      <c r="G15" s="24">
        <v>400</v>
      </c>
      <c r="H15" s="17"/>
      <c r="I15" s="45"/>
    </row>
    <row r="16" spans="1:9" ht="15.75" thickTop="1" x14ac:dyDescent="0.2">
      <c r="A16" s="31" t="s">
        <v>16</v>
      </c>
      <c r="B16" s="14">
        <v>42</v>
      </c>
      <c r="C16" s="12"/>
      <c r="D16" s="13"/>
      <c r="F16" s="21" t="s">
        <v>30</v>
      </c>
      <c r="G16" s="40">
        <f>SUM(G11:G15)</f>
        <v>4443</v>
      </c>
      <c r="H16" s="44" t="s">
        <v>35</v>
      </c>
      <c r="I16" s="43">
        <f>I14+I12</f>
        <v>4443</v>
      </c>
    </row>
    <row r="17" spans="1:9" ht="15" x14ac:dyDescent="0.2">
      <c r="A17" s="31" t="s">
        <v>17</v>
      </c>
      <c r="B17" s="14">
        <v>700</v>
      </c>
      <c r="C17" s="24"/>
      <c r="D17" s="13"/>
      <c r="F17" s="10"/>
      <c r="G17" s="16"/>
      <c r="H17" s="17"/>
      <c r="I17" s="8"/>
    </row>
    <row r="18" spans="1:9" ht="15.75" thickBot="1" x14ac:dyDescent="0.25">
      <c r="A18" s="31" t="s">
        <v>18</v>
      </c>
      <c r="B18" s="36">
        <v>820</v>
      </c>
      <c r="C18" s="15"/>
      <c r="D18" s="13"/>
      <c r="F18" s="9"/>
      <c r="G18" s="7"/>
      <c r="H18" s="7"/>
      <c r="I18" s="8"/>
    </row>
    <row r="19" spans="1:9" ht="16.5" thickTop="1" thickBot="1" x14ac:dyDescent="0.25">
      <c r="A19" s="21" t="s">
        <v>19</v>
      </c>
      <c r="B19" s="18"/>
      <c r="C19" s="37">
        <f>B12+B13+B14+B15+B16+B17+B18</f>
        <v>1866</v>
      </c>
      <c r="D19" s="13">
        <f>C19/C11</f>
        <v>1.1412844036697247</v>
      </c>
      <c r="F19" s="9"/>
      <c r="G19" s="7"/>
      <c r="H19" s="7"/>
      <c r="I19" s="8"/>
    </row>
    <row r="20" spans="1:9" ht="16.5" thickTop="1" thickBot="1" x14ac:dyDescent="0.25">
      <c r="A20" s="31" t="s">
        <v>20</v>
      </c>
      <c r="B20" s="38"/>
      <c r="C20" s="39">
        <f>C11-C19</f>
        <v>-231</v>
      </c>
      <c r="D20" s="46">
        <f>D11-D19</f>
        <v>-0.14128440366972472</v>
      </c>
      <c r="F20" s="9"/>
      <c r="G20" s="7"/>
      <c r="H20" s="7"/>
      <c r="I20" s="8"/>
    </row>
    <row r="21" spans="1:9" ht="15.75" thickTop="1" x14ac:dyDescent="0.2">
      <c r="A21" s="9"/>
      <c r="B21" s="6"/>
      <c r="C21" s="7"/>
      <c r="D21" s="8"/>
      <c r="F21" s="9"/>
      <c r="G21" s="7"/>
      <c r="H21" s="7" t="s">
        <v>5</v>
      </c>
      <c r="I21" s="8"/>
    </row>
    <row r="22" spans="1:9" ht="15" x14ac:dyDescent="0.2">
      <c r="A22" s="9"/>
      <c r="B22" s="6"/>
      <c r="C22" s="7"/>
      <c r="D22" s="8"/>
      <c r="F22" s="9"/>
      <c r="G22" s="7"/>
      <c r="H22" s="7"/>
      <c r="I22" s="8"/>
    </row>
    <row r="23" spans="1:9" ht="15" x14ac:dyDescent="0.2">
      <c r="A23" s="9"/>
      <c r="B23" s="6"/>
      <c r="C23" s="7"/>
      <c r="D23" s="8"/>
    </row>
    <row r="24" spans="1:9" ht="15" x14ac:dyDescent="0.2">
      <c r="A24" s="9"/>
      <c r="B24" s="6"/>
      <c r="C24" s="7"/>
      <c r="D24" s="8"/>
    </row>
  </sheetData>
  <mergeCells count="6">
    <mergeCell ref="A5:D5"/>
    <mergeCell ref="A6:D6"/>
    <mergeCell ref="A7:D7"/>
    <mergeCell ref="F5:I5"/>
    <mergeCell ref="F6:I6"/>
    <mergeCell ref="F7:I7"/>
  </mergeCells>
  <phoneticPr fontId="2" type="noConversion"/>
  <printOptions horizontalCentered="1"/>
  <pageMargins left="0.34" right="0.21" top="0.68" bottom="1" header="0.5" footer="0.5"/>
  <pageSetup orientation="portrait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9AC1F4-A6BF-4DD0-8953-CAE570D180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8AE09B-350F-4010-8622-721F15F88B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E0BB8D-13E0-4A8A-B5BF-D7F1878603F5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documentManagement/types"/>
    <ds:schemaRef ds:uri="d758baea-510e-4597-bb40-a09e4fc0f415"/>
    <ds:schemaRef ds:uri="http://purl.org/dc/dcmitype/"/>
    <ds:schemaRef ds:uri="d5bf7610-0a90-45dc-b926-1b234e6c6756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Income-Balance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2007-12-01T01:11:46Z</dcterms:created>
  <dcterms:modified xsi:type="dcterms:W3CDTF">2023-12-01T17:22:06Z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11700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