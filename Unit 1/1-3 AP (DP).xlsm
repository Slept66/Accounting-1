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1/"/>
    </mc:Choice>
  </mc:AlternateContent>
  <xr:revisionPtr revIDLastSave="73" documentId="8_{47B56C8B-96B8-479C-AF9E-ABC8692F83E5}" xr6:coauthVersionLast="47" xr6:coauthVersionMax="47" xr10:uidLastSave="{29474463-1F45-4719-AAA0-F737F931462A}"/>
  <bookViews>
    <workbookView xWindow="-110" yWindow="-110" windowWidth="19420" windowHeight="10420" xr2:uid="{00000000-000D-0000-FFFF-FFFF00000000}"/>
  </bookViews>
  <sheets>
    <sheet name="P1-2" sheetId="1" r:id="rId1"/>
    <sheet name="P1-2 KEY" sheetId="4" state="hidden" r:id="rId2"/>
  </sheets>
  <definedNames>
    <definedName name="answers">'P1-2'!$B$7,'P1-2'!$B$7:$B$22,'P1-2'!$E$7:$E$22,'P1-2'!$H$7:$H$22,'P1-2'!$J$7:$J$22,'P1-2'!$M$7:$M$22,'P1-2'!$P$7:$P$22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8" i="1" l="1"/>
  <c r="P10" i="1" s="1"/>
  <c r="P12" i="1" s="1"/>
  <c r="P14" i="1" s="1"/>
  <c r="P16" i="1" s="1"/>
  <c r="P18" i="1" s="1"/>
  <c r="P20" i="1" s="1"/>
  <c r="P22" i="1" s="1"/>
  <c r="P23" i="1" s="1"/>
  <c r="M8" i="1"/>
  <c r="M10" i="1" s="1"/>
  <c r="M12" i="1" s="1"/>
  <c r="M14" i="1" s="1"/>
  <c r="M16" i="1" s="1"/>
  <c r="M18" i="1" s="1"/>
  <c r="M20" i="1" s="1"/>
  <c r="M22" i="1" s="1"/>
  <c r="M23" i="1" s="1"/>
  <c r="J8" i="1"/>
  <c r="J10" i="1" s="1"/>
  <c r="J12" i="1" s="1"/>
  <c r="J14" i="1" s="1"/>
  <c r="J16" i="1" s="1"/>
  <c r="J18" i="1" s="1"/>
  <c r="J20" i="1" s="1"/>
  <c r="J22" i="1" s="1"/>
  <c r="J23" i="1" s="1"/>
  <c r="H8" i="1"/>
  <c r="H10" i="1" s="1"/>
  <c r="H12" i="1" s="1"/>
  <c r="H14" i="1" s="1"/>
  <c r="H16" i="1" s="1"/>
  <c r="H18" i="1" s="1"/>
  <c r="H20" i="1" s="1"/>
  <c r="H22" i="1" s="1"/>
  <c r="H23" i="1" s="1"/>
  <c r="E8" i="1"/>
  <c r="E10" i="1"/>
  <c r="E12" i="1"/>
  <c r="E14" i="1" s="1"/>
  <c r="E16" i="1" s="1"/>
  <c r="E18" i="1" s="1"/>
  <c r="E20" i="1" s="1"/>
  <c r="E22" i="1" s="1"/>
  <c r="E23" i="1" s="1"/>
  <c r="B8" i="1"/>
  <c r="B10" i="1" s="1"/>
  <c r="B12" i="1" s="1"/>
  <c r="B14" i="1" s="1"/>
  <c r="B16" i="1" s="1"/>
  <c r="B18" i="1" s="1"/>
  <c r="B20" i="1" s="1"/>
  <c r="B22" i="1" s="1"/>
  <c r="B23" i="1" s="1"/>
  <c r="B10" i="4"/>
</calcChain>
</file>

<file path=xl/sharedStrings.xml><?xml version="1.0" encoding="utf-8"?>
<sst xmlns="http://schemas.openxmlformats.org/spreadsheetml/2006/main" count="82" uniqueCount="37">
  <si>
    <t>APPLICATION PROBLEM 1-3</t>
  </si>
  <si>
    <t>NAME:</t>
  </si>
  <si>
    <t>NOT IN TEXTBOOK</t>
  </si>
  <si>
    <t>Assets</t>
  </si>
  <si>
    <t>=</t>
  </si>
  <si>
    <t>Liabilities</t>
  </si>
  <si>
    <t>+</t>
  </si>
  <si>
    <t>Owner's Equity</t>
  </si>
  <si>
    <t>Transaction</t>
  </si>
  <si>
    <t>Cash</t>
  </si>
  <si>
    <t>Supplies</t>
  </si>
  <si>
    <t>Prepaid
Insurance</t>
  </si>
  <si>
    <t>Accounts Payable
Five Star Supply</t>
  </si>
  <si>
    <t>Accounts Payable
Riverland Co.</t>
  </si>
  <si>
    <t>Calvin Parrish,
Capital</t>
  </si>
  <si>
    <t>Beginning Balance</t>
  </si>
  <si>
    <t>1.  Received cash from owner as investment, $3,000</t>
  </si>
  <si>
    <t>New Balance</t>
  </si>
  <si>
    <t>2.  Paid cash for insurance, $1,600</t>
  </si>
  <si>
    <t>3.  Bought supplies on account from Five Star Supply, $700</t>
  </si>
  <si>
    <t>4.  Bought supplies on account from Riverland Company, $300.</t>
  </si>
  <si>
    <t>5.  Paid cash on account to Five Star Supply, $700.</t>
  </si>
  <si>
    <t>6.  Paid cash on account to Riverland Company, $200</t>
  </si>
  <si>
    <t>7.  Paid cash for supplies $100.</t>
  </si>
  <si>
    <t>8.  Received cash from owner as investment, $1500.</t>
  </si>
  <si>
    <t>Ending Balance</t>
  </si>
  <si>
    <t>When finished, click here first, then click one of the buttons below.</t>
  </si>
  <si>
    <t>Click File, Print when ready to print.</t>
  </si>
  <si>
    <t>OK</t>
  </si>
  <si>
    <t>Remove printout from printer.</t>
  </si>
  <si>
    <t>CHECK</t>
  </si>
  <si>
    <t>Close file, DO NOT save.</t>
  </si>
  <si>
    <t>APPLICATION PROBLEM 1-2</t>
  </si>
  <si>
    <t>KEY</t>
  </si>
  <si>
    <t>pp 19 - 20</t>
  </si>
  <si>
    <t>Liabilties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</si>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</sst>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b/>
      <sz val="12"/>
      <name val="Arial"/>
      <family val="2"/>
    </font>
    <font>
      <sz val="11"/>
      <name val="Arial"/>
    </font>
    <font>
      <b/>
      <sz val="11"/>
      <name val="Arial"/>
    </font>
    <font>
      <b/>
      <sz val="12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quotePrefix="1" applyFont="1" applyBorder="1"/>
    <xf numFmtId="0" fontId="4" fillId="0" borderId="5" xfId="0" applyFont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3" fontId="6" fillId="0" borderId="0" xfId="1" applyNumberFormat="1" applyFont="1" applyBorder="1" applyAlignment="1">
      <alignment horizontal="center"/>
    </xf>
    <xf numFmtId="3" fontId="7" fillId="2" borderId="0" xfId="1" applyNumberFormat="1" applyFont="1" applyFill="1" applyBorder="1" applyAlignment="1">
      <alignment horizontal="center"/>
    </xf>
    <xf numFmtId="3" fontId="6" fillId="0" borderId="1" xfId="1" applyNumberFormat="1" applyFont="1" applyBorder="1" applyAlignment="1">
      <alignment horizontal="center"/>
    </xf>
    <xf numFmtId="3" fontId="7" fillId="2" borderId="1" xfId="1" applyNumberFormat="1" applyFont="1" applyFill="1" applyBorder="1" applyAlignment="1">
      <alignment horizontal="center"/>
    </xf>
    <xf numFmtId="3" fontId="6" fillId="0" borderId="9" xfId="1" applyNumberFormat="1" applyFont="1" applyBorder="1" applyAlignment="1">
      <alignment horizontal="center"/>
    </xf>
    <xf numFmtId="3" fontId="7" fillId="2" borderId="9" xfId="1" applyNumberFormat="1" applyFont="1" applyFill="1" applyBorder="1" applyAlignment="1">
      <alignment horizontal="center"/>
    </xf>
    <xf numFmtId="3" fontId="6" fillId="0" borderId="4" xfId="1" applyNumberFormat="1" applyFont="1" applyBorder="1" applyAlignment="1">
      <alignment horizontal="center"/>
    </xf>
    <xf numFmtId="3" fontId="7" fillId="2" borderId="4" xfId="1" applyNumberFormat="1" applyFont="1" applyFill="1" applyBorder="1" applyAlignment="1">
      <alignment horizontal="center"/>
    </xf>
    <xf numFmtId="0" fontId="6" fillId="0" borderId="10" xfId="0" applyFont="1" applyBorder="1"/>
    <xf numFmtId="0" fontId="6" fillId="0" borderId="11" xfId="0" applyFont="1" applyBorder="1" applyAlignment="1">
      <alignment wrapText="1"/>
    </xf>
    <xf numFmtId="0" fontId="6" fillId="0" borderId="5" xfId="0" applyFont="1" applyBorder="1"/>
    <xf numFmtId="3" fontId="6" fillId="0" borderId="12" xfId="1" applyNumberFormat="1" applyFont="1" applyBorder="1" applyAlignment="1">
      <alignment horizontal="center"/>
    </xf>
    <xf numFmtId="3" fontId="6" fillId="0" borderId="11" xfId="1" applyNumberFormat="1" applyFont="1" applyBorder="1" applyAlignment="1">
      <alignment horizontal="center"/>
    </xf>
    <xf numFmtId="3" fontId="6" fillId="0" borderId="10" xfId="1" applyNumberFormat="1" applyFont="1" applyBorder="1" applyAlignment="1">
      <alignment horizontal="center"/>
    </xf>
    <xf numFmtId="3" fontId="6" fillId="0" borderId="5" xfId="1" applyNumberFormat="1" applyFont="1" applyBorder="1" applyAlignment="1">
      <alignment horizontal="center"/>
    </xf>
    <xf numFmtId="3" fontId="6" fillId="0" borderId="13" xfId="1" applyNumberFormat="1" applyFont="1" applyBorder="1" applyAlignment="1">
      <alignment horizontal="center"/>
    </xf>
    <xf numFmtId="3" fontId="6" fillId="0" borderId="14" xfId="1" applyNumberFormat="1" applyFont="1" applyBorder="1" applyAlignment="1">
      <alignment horizontal="center"/>
    </xf>
    <xf numFmtId="3" fontId="6" fillId="0" borderId="15" xfId="1" applyNumberFormat="1" applyFont="1" applyBorder="1" applyAlignment="1">
      <alignment horizontal="center"/>
    </xf>
    <xf numFmtId="3" fontId="6" fillId="0" borderId="16" xfId="1" applyNumberFormat="1" applyFont="1" applyBorder="1" applyAlignment="1">
      <alignment horizontal="center"/>
    </xf>
    <xf numFmtId="3" fontId="6" fillId="0" borderId="17" xfId="1" applyNumberFormat="1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6" fillId="0" borderId="2" xfId="0" applyFont="1" applyBorder="1"/>
    <xf numFmtId="0" fontId="6" fillId="0" borderId="3" xfId="0" applyFont="1" applyBorder="1" applyAlignment="1">
      <alignment wrapText="1"/>
    </xf>
    <xf numFmtId="0" fontId="6" fillId="0" borderId="21" xfId="0" applyFont="1" applyBorder="1"/>
    <xf numFmtId="0" fontId="3" fillId="0" borderId="1" xfId="0" applyFont="1" applyBorder="1" applyProtection="1">
      <protection locked="0"/>
    </xf>
    <xf numFmtId="3" fontId="6" fillId="0" borderId="10" xfId="1" applyNumberFormat="1" applyFont="1" applyBorder="1" applyAlignment="1" applyProtection="1">
      <alignment horizontal="center"/>
    </xf>
    <xf numFmtId="3" fontId="6" fillId="0" borderId="9" xfId="1" applyNumberFormat="1" applyFont="1" applyBorder="1" applyAlignment="1" applyProtection="1">
      <alignment horizontal="center"/>
    </xf>
    <xf numFmtId="3" fontId="7" fillId="2" borderId="9" xfId="1" applyNumberFormat="1" applyFont="1" applyFill="1" applyBorder="1" applyAlignment="1" applyProtection="1">
      <alignment horizontal="center"/>
    </xf>
    <xf numFmtId="3" fontId="6" fillId="0" borderId="5" xfId="1" applyNumberFormat="1" applyFont="1" applyBorder="1" applyAlignment="1" applyProtection="1">
      <alignment horizontal="center"/>
    </xf>
    <xf numFmtId="3" fontId="6" fillId="0" borderId="4" xfId="1" applyNumberFormat="1" applyFont="1" applyBorder="1" applyAlignment="1" applyProtection="1">
      <alignment horizontal="center"/>
    </xf>
    <xf numFmtId="3" fontId="7" fillId="2" borderId="4" xfId="1" applyNumberFormat="1" applyFont="1" applyFill="1" applyBorder="1" applyAlignment="1" applyProtection="1">
      <alignment horizontal="center"/>
    </xf>
    <xf numFmtId="0" fontId="5" fillId="0" borderId="0" xfId="0" applyFont="1"/>
    <xf numFmtId="0" fontId="3" fillId="0" borderId="7" xfId="0" quotePrefix="1" applyFont="1" applyBorder="1" applyAlignment="1">
      <alignment horizontal="center"/>
    </xf>
    <xf numFmtId="3" fontId="6" fillId="0" borderId="14" xfId="1" applyNumberFormat="1" applyFont="1" applyBorder="1" applyAlignment="1" applyProtection="1">
      <alignment horizontal="center"/>
    </xf>
    <xf numFmtId="3" fontId="6" fillId="0" borderId="15" xfId="1" applyNumberFormat="1" applyFont="1" applyBorder="1" applyAlignment="1" applyProtection="1">
      <alignment horizontal="center"/>
    </xf>
    <xf numFmtId="3" fontId="6" fillId="0" borderId="16" xfId="1" applyNumberFormat="1" applyFont="1" applyBorder="1" applyAlignment="1" applyProtection="1">
      <alignment horizont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11" xfId="1" applyNumberFormat="1" applyFont="1" applyBorder="1" applyAlignment="1" applyProtection="1">
      <alignment horizontal="center"/>
    </xf>
    <xf numFmtId="0" fontId="3" fillId="0" borderId="7" xfId="0" quotePrefix="1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" fillId="0" borderId="0" xfId="0" applyFont="1" applyAlignment="1">
      <alignment horizontal="right"/>
    </xf>
  </cellXfs>
  <cellStyles count="2">
    <cellStyle name="Comma" xfId="1" builtinId="3"/>
    <cellStyle name="Normal" xfId="0" builtinId="0"/>
  </cellStyles>
  <dxfs count="2"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24</xdr:row>
      <xdr:rowOff>76200</xdr:rowOff>
    </xdr:from>
    <xdr:to>
      <xdr:col>12</xdr:col>
      <xdr:colOff>9525</xdr:colOff>
      <xdr:row>26</xdr:row>
      <xdr:rowOff>142875</xdr:rowOff>
    </xdr:to>
    <xdr:sp macro="[0]!check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rrowheads="1"/>
        </xdr:cNvSpPr>
      </xdr:nvSpPr>
      <xdr:spPr bwMode="auto">
        <a:xfrm>
          <a:off x="4791075" y="5962650"/>
          <a:ext cx="15144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12</xdr:col>
      <xdr:colOff>428625</xdr:colOff>
      <xdr:row>24</xdr:row>
      <xdr:rowOff>76200</xdr:rowOff>
    </xdr:from>
    <xdr:to>
      <xdr:col>15</xdr:col>
      <xdr:colOff>447675</xdr:colOff>
      <xdr:row>26</xdr:row>
      <xdr:rowOff>142875</xdr:rowOff>
    </xdr:to>
    <xdr:sp macro="[0]!change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rrowheads="1"/>
        </xdr:cNvSpPr>
      </xdr:nvSpPr>
      <xdr:spPr bwMode="auto">
        <a:xfrm>
          <a:off x="6724650" y="5962650"/>
          <a:ext cx="157162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7"/>
  <sheetViews>
    <sheetView tabSelected="1" topLeftCell="A5" zoomScale="70" zoomScaleNormal="70" workbookViewId="0">
      <selection activeCell="J24" sqref="J24"/>
    </sheetView>
  </sheetViews>
  <sheetFormatPr defaultRowHeight="12.5" x14ac:dyDescent="0.25"/>
  <cols>
    <col min="1" max="1" width="31.453125" customWidth="1"/>
    <col min="3" max="4" width="1.7265625" customWidth="1"/>
    <col min="6" max="7" width="1.7265625" customWidth="1"/>
    <col min="8" max="8" width="13" customWidth="1"/>
    <col min="9" max="9" width="1.54296875" customWidth="1"/>
    <col min="10" max="10" width="19.81640625" customWidth="1"/>
    <col min="11" max="12" width="1.7265625" customWidth="1"/>
    <col min="13" max="13" width="19.81640625" customWidth="1"/>
    <col min="14" max="15" width="1.7265625" customWidth="1"/>
    <col min="16" max="16" width="17.453125" customWidth="1"/>
  </cols>
  <sheetData>
    <row r="1" spans="1:16" ht="15.5" x14ac:dyDescent="0.35">
      <c r="A1" s="1" t="s">
        <v>0</v>
      </c>
      <c r="B1" s="1"/>
      <c r="C1" s="1"/>
      <c r="D1" s="1"/>
      <c r="E1" s="56" t="s">
        <v>1</v>
      </c>
      <c r="F1" s="56"/>
      <c r="G1" s="56"/>
      <c r="H1" s="40" t="s">
        <v>36</v>
      </c>
      <c r="I1" s="40"/>
      <c r="J1" s="40"/>
      <c r="K1" s="1"/>
      <c r="L1" s="1"/>
      <c r="M1" s="1"/>
      <c r="N1" s="1"/>
      <c r="O1" s="1"/>
      <c r="P1" s="1"/>
    </row>
    <row r="2" spans="1:16" ht="15.5" x14ac:dyDescent="0.35">
      <c r="A2" s="47" t="s">
        <v>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.5" x14ac:dyDescent="0.35">
      <c r="A4" s="3"/>
      <c r="B4" s="57" t="s">
        <v>3</v>
      </c>
      <c r="C4" s="58"/>
      <c r="D4" s="58"/>
      <c r="E4" s="58"/>
      <c r="F4" s="58"/>
      <c r="G4" s="58"/>
      <c r="H4" s="58"/>
      <c r="I4" s="5" t="s">
        <v>4</v>
      </c>
      <c r="J4" s="58" t="s">
        <v>5</v>
      </c>
      <c r="K4" s="58"/>
      <c r="L4" s="58"/>
      <c r="M4" s="58"/>
      <c r="N4" s="55" t="s">
        <v>6</v>
      </c>
      <c r="O4" s="55"/>
      <c r="P4" s="6" t="s">
        <v>7</v>
      </c>
    </row>
    <row r="5" spans="1:16" ht="31.5" thickBot="1" x14ac:dyDescent="0.4">
      <c r="A5" s="4" t="s">
        <v>8</v>
      </c>
      <c r="B5" s="7" t="s">
        <v>9</v>
      </c>
      <c r="C5" s="54" t="s">
        <v>6</v>
      </c>
      <c r="D5" s="54"/>
      <c r="E5" s="8" t="s">
        <v>10</v>
      </c>
      <c r="F5" s="54" t="s">
        <v>6</v>
      </c>
      <c r="G5" s="54"/>
      <c r="H5" s="9" t="s">
        <v>11</v>
      </c>
      <c r="I5" s="48" t="s">
        <v>4</v>
      </c>
      <c r="J5" s="9" t="s">
        <v>12</v>
      </c>
      <c r="K5" s="54" t="s">
        <v>6</v>
      </c>
      <c r="L5" s="54"/>
      <c r="M5" s="9" t="s">
        <v>13</v>
      </c>
      <c r="N5" s="54" t="s">
        <v>6</v>
      </c>
      <c r="O5" s="54"/>
      <c r="P5" s="10" t="s">
        <v>14</v>
      </c>
    </row>
    <row r="6" spans="1:16" ht="14" x14ac:dyDescent="0.3">
      <c r="A6" s="37" t="s">
        <v>15</v>
      </c>
      <c r="B6" s="26">
        <v>0</v>
      </c>
      <c r="C6" s="22"/>
      <c r="D6" s="11"/>
      <c r="E6" s="30">
        <v>0</v>
      </c>
      <c r="F6" s="22"/>
      <c r="G6" s="11"/>
      <c r="H6" s="11">
        <v>0</v>
      </c>
      <c r="I6" s="12"/>
      <c r="J6" s="11">
        <v>0</v>
      </c>
      <c r="K6" s="22"/>
      <c r="L6" s="11"/>
      <c r="M6" s="11">
        <v>0</v>
      </c>
      <c r="N6" s="22"/>
      <c r="O6" s="11"/>
      <c r="P6" s="22">
        <v>0</v>
      </c>
    </row>
    <row r="7" spans="1:16" ht="28" x14ac:dyDescent="0.3">
      <c r="A7" s="38" t="s">
        <v>16</v>
      </c>
      <c r="B7" s="49">
        <v>3000</v>
      </c>
      <c r="C7" s="23"/>
      <c r="D7" s="13"/>
      <c r="E7" s="52"/>
      <c r="F7" s="23"/>
      <c r="G7" s="13"/>
      <c r="H7" s="52"/>
      <c r="I7" s="14"/>
      <c r="J7" s="52"/>
      <c r="K7" s="23"/>
      <c r="L7" s="13"/>
      <c r="M7" s="52"/>
      <c r="N7" s="23"/>
      <c r="O7" s="13"/>
      <c r="P7" s="53">
        <v>3000</v>
      </c>
    </row>
    <row r="8" spans="1:16" ht="14" x14ac:dyDescent="0.3">
      <c r="A8" s="37" t="s">
        <v>17</v>
      </c>
      <c r="B8" s="50">
        <f>B6+B7</f>
        <v>3000</v>
      </c>
      <c r="C8" s="41"/>
      <c r="D8" s="42"/>
      <c r="E8" s="42">
        <f>E6+E7</f>
        <v>0</v>
      </c>
      <c r="F8" s="41"/>
      <c r="G8" s="42"/>
      <c r="H8" s="42">
        <f>H6+H7</f>
        <v>0</v>
      </c>
      <c r="I8" s="43"/>
      <c r="J8" s="42">
        <f>J6+J7</f>
        <v>0</v>
      </c>
      <c r="K8" s="41"/>
      <c r="L8" s="42"/>
      <c r="M8" s="42">
        <f>M6+M7</f>
        <v>0</v>
      </c>
      <c r="N8" s="41"/>
      <c r="O8" s="42"/>
      <c r="P8" s="41">
        <f>P6+P7</f>
        <v>3000</v>
      </c>
    </row>
    <row r="9" spans="1:16" ht="28" x14ac:dyDescent="0.3">
      <c r="A9" s="38" t="s">
        <v>18</v>
      </c>
      <c r="B9" s="49">
        <v>-1600</v>
      </c>
      <c r="C9" s="23"/>
      <c r="D9" s="13"/>
      <c r="E9" s="52"/>
      <c r="F9" s="23"/>
      <c r="G9" s="13"/>
      <c r="H9" s="52">
        <v>1600</v>
      </c>
      <c r="I9" s="14"/>
      <c r="J9" s="52"/>
      <c r="K9" s="23"/>
      <c r="L9" s="13"/>
      <c r="M9" s="52"/>
      <c r="N9" s="23"/>
      <c r="O9" s="13"/>
      <c r="P9" s="53"/>
    </row>
    <row r="10" spans="1:16" ht="14" x14ac:dyDescent="0.3">
      <c r="A10" s="37" t="s">
        <v>17</v>
      </c>
      <c r="B10" s="50">
        <f>B8+B9</f>
        <v>1400</v>
      </c>
      <c r="C10" s="41"/>
      <c r="D10" s="42"/>
      <c r="E10" s="42">
        <f>E8+E9</f>
        <v>0</v>
      </c>
      <c r="F10" s="41"/>
      <c r="G10" s="42"/>
      <c r="H10" s="42">
        <f>H8+H9</f>
        <v>1600</v>
      </c>
      <c r="I10" s="43"/>
      <c r="J10" s="42">
        <f>J8+J9</f>
        <v>0</v>
      </c>
      <c r="K10" s="41"/>
      <c r="L10" s="42"/>
      <c r="M10" s="42">
        <f>M8+M9</f>
        <v>0</v>
      </c>
      <c r="N10" s="41"/>
      <c r="O10" s="42"/>
      <c r="P10" s="41">
        <f>P8+P9</f>
        <v>3000</v>
      </c>
    </row>
    <row r="11" spans="1:16" ht="28" x14ac:dyDescent="0.3">
      <c r="A11" s="38" t="s">
        <v>19</v>
      </c>
      <c r="B11" s="49"/>
      <c r="C11" s="23"/>
      <c r="D11" s="13"/>
      <c r="E11" s="52">
        <v>700</v>
      </c>
      <c r="F11" s="23"/>
      <c r="G11" s="13"/>
      <c r="H11" s="52"/>
      <c r="I11" s="14"/>
      <c r="J11" s="52">
        <v>700</v>
      </c>
      <c r="K11" s="23"/>
      <c r="L11" s="13"/>
      <c r="M11" s="52"/>
      <c r="N11" s="23"/>
      <c r="O11" s="13"/>
      <c r="P11" s="53"/>
    </row>
    <row r="12" spans="1:16" ht="14" x14ac:dyDescent="0.3">
      <c r="A12" s="37" t="s">
        <v>17</v>
      </c>
      <c r="B12" s="50">
        <f>B10+B11</f>
        <v>1400</v>
      </c>
      <c r="C12" s="41"/>
      <c r="D12" s="42"/>
      <c r="E12" s="42">
        <f>E10+E11</f>
        <v>700</v>
      </c>
      <c r="F12" s="41"/>
      <c r="G12" s="42"/>
      <c r="H12" s="42">
        <f>H10+H11</f>
        <v>1600</v>
      </c>
      <c r="I12" s="43"/>
      <c r="J12" s="42">
        <f>J10+J11</f>
        <v>700</v>
      </c>
      <c r="K12" s="41"/>
      <c r="L12" s="42"/>
      <c r="M12" s="42">
        <f>M10+M11</f>
        <v>0</v>
      </c>
      <c r="N12" s="41"/>
      <c r="O12" s="42"/>
      <c r="P12" s="41">
        <f>P10+P11</f>
        <v>3000</v>
      </c>
    </row>
    <row r="13" spans="1:16" ht="28" x14ac:dyDescent="0.3">
      <c r="A13" s="38" t="s">
        <v>20</v>
      </c>
      <c r="B13" s="49"/>
      <c r="C13" s="23"/>
      <c r="D13" s="13"/>
      <c r="E13" s="52">
        <v>300</v>
      </c>
      <c r="F13" s="23"/>
      <c r="G13" s="13"/>
      <c r="H13" s="52"/>
      <c r="I13" s="14"/>
      <c r="J13" s="52"/>
      <c r="K13" s="23"/>
      <c r="L13" s="13"/>
      <c r="M13" s="52">
        <v>300</v>
      </c>
      <c r="N13" s="23"/>
      <c r="O13" s="13"/>
      <c r="P13" s="53"/>
    </row>
    <row r="14" spans="1:16" ht="14" x14ac:dyDescent="0.3">
      <c r="A14" s="37" t="s">
        <v>17</v>
      </c>
      <c r="B14" s="50">
        <f>B12+B13</f>
        <v>1400</v>
      </c>
      <c r="C14" s="41"/>
      <c r="D14" s="42"/>
      <c r="E14" s="42">
        <f>E12+E13</f>
        <v>1000</v>
      </c>
      <c r="F14" s="41"/>
      <c r="G14" s="42"/>
      <c r="H14" s="42">
        <f>H12+H13</f>
        <v>1600</v>
      </c>
      <c r="I14" s="43"/>
      <c r="J14" s="42">
        <f>J12+J13</f>
        <v>700</v>
      </c>
      <c r="K14" s="41"/>
      <c r="L14" s="42"/>
      <c r="M14" s="42">
        <f>M12+M13</f>
        <v>300</v>
      </c>
      <c r="N14" s="41"/>
      <c r="O14" s="42"/>
      <c r="P14" s="41">
        <f>P12+P13</f>
        <v>3000</v>
      </c>
    </row>
    <row r="15" spans="1:16" ht="28" x14ac:dyDescent="0.3">
      <c r="A15" s="38" t="s">
        <v>21</v>
      </c>
      <c r="B15" s="49">
        <v>-700</v>
      </c>
      <c r="C15" s="23"/>
      <c r="D15" s="13"/>
      <c r="E15" s="52"/>
      <c r="F15" s="23"/>
      <c r="G15" s="13"/>
      <c r="H15" s="52"/>
      <c r="I15" s="14"/>
      <c r="J15" s="52">
        <v>-700</v>
      </c>
      <c r="K15" s="23"/>
      <c r="L15" s="13"/>
      <c r="M15" s="52"/>
      <c r="N15" s="23"/>
      <c r="O15" s="13"/>
      <c r="P15" s="53"/>
    </row>
    <row r="16" spans="1:16" ht="14" x14ac:dyDescent="0.3">
      <c r="A16" s="37" t="s">
        <v>17</v>
      </c>
      <c r="B16" s="50">
        <f>B14+B15</f>
        <v>700</v>
      </c>
      <c r="C16" s="41"/>
      <c r="D16" s="42"/>
      <c r="E16" s="42">
        <f>E14+E15</f>
        <v>1000</v>
      </c>
      <c r="F16" s="41"/>
      <c r="G16" s="42"/>
      <c r="H16" s="42">
        <f>H14+H15</f>
        <v>1600</v>
      </c>
      <c r="I16" s="43"/>
      <c r="J16" s="42">
        <f>J14+J15</f>
        <v>0</v>
      </c>
      <c r="K16" s="41"/>
      <c r="L16" s="42"/>
      <c r="M16" s="42">
        <f>M14+M15</f>
        <v>300</v>
      </c>
      <c r="N16" s="41"/>
      <c r="O16" s="42"/>
      <c r="P16" s="41">
        <f>P14+P15</f>
        <v>3000</v>
      </c>
    </row>
    <row r="17" spans="1:16" ht="31.5" customHeight="1" x14ac:dyDescent="0.3">
      <c r="A17" s="38" t="s">
        <v>22</v>
      </c>
      <c r="B17" s="49">
        <v>-200</v>
      </c>
      <c r="C17" s="23"/>
      <c r="D17" s="13"/>
      <c r="E17" s="52"/>
      <c r="F17" s="23"/>
      <c r="G17" s="13"/>
      <c r="H17" s="52"/>
      <c r="I17" s="14"/>
      <c r="J17" s="52"/>
      <c r="K17" s="23"/>
      <c r="L17" s="13"/>
      <c r="M17" s="52">
        <v>-200</v>
      </c>
      <c r="N17" s="23"/>
      <c r="O17" s="13"/>
      <c r="P17" s="53"/>
    </row>
    <row r="18" spans="1:16" ht="14" x14ac:dyDescent="0.3">
      <c r="A18" s="37" t="s">
        <v>17</v>
      </c>
      <c r="B18" s="50">
        <f>B16+B17</f>
        <v>500</v>
      </c>
      <c r="C18" s="41"/>
      <c r="D18" s="42"/>
      <c r="E18" s="42">
        <f>E16+E17</f>
        <v>1000</v>
      </c>
      <c r="F18" s="41"/>
      <c r="G18" s="42"/>
      <c r="H18" s="42">
        <f>H16+H17</f>
        <v>1600</v>
      </c>
      <c r="I18" s="43"/>
      <c r="J18" s="42">
        <f>J16+J17</f>
        <v>0</v>
      </c>
      <c r="K18" s="41"/>
      <c r="L18" s="42"/>
      <c r="M18" s="42">
        <f>M16+M17</f>
        <v>100</v>
      </c>
      <c r="N18" s="41"/>
      <c r="O18" s="42"/>
      <c r="P18" s="41">
        <f>P16+P17</f>
        <v>3000</v>
      </c>
    </row>
    <row r="19" spans="1:16" ht="14" x14ac:dyDescent="0.3">
      <c r="A19" s="38" t="s">
        <v>23</v>
      </c>
      <c r="B19" s="49">
        <v>-100</v>
      </c>
      <c r="C19" s="23"/>
      <c r="D19" s="13"/>
      <c r="E19" s="52">
        <v>100</v>
      </c>
      <c r="F19" s="23"/>
      <c r="G19" s="13"/>
      <c r="H19" s="52"/>
      <c r="I19" s="14"/>
      <c r="J19" s="52"/>
      <c r="K19" s="23"/>
      <c r="L19" s="13"/>
      <c r="M19" s="52"/>
      <c r="N19" s="23"/>
      <c r="O19" s="13"/>
      <c r="P19" s="53"/>
    </row>
    <row r="20" spans="1:16" ht="14" x14ac:dyDescent="0.3">
      <c r="A20" s="37" t="s">
        <v>17</v>
      </c>
      <c r="B20" s="50">
        <f>B18+B19</f>
        <v>400</v>
      </c>
      <c r="C20" s="41"/>
      <c r="D20" s="42"/>
      <c r="E20" s="42">
        <f>E18+E19</f>
        <v>1100</v>
      </c>
      <c r="F20" s="41"/>
      <c r="G20" s="42"/>
      <c r="H20" s="42">
        <f>H18+H19</f>
        <v>1600</v>
      </c>
      <c r="I20" s="43"/>
      <c r="J20" s="42">
        <f>J18+J19</f>
        <v>0</v>
      </c>
      <c r="K20" s="41"/>
      <c r="L20" s="42"/>
      <c r="M20" s="42">
        <f>M18+M19</f>
        <v>100</v>
      </c>
      <c r="N20" s="41"/>
      <c r="O20" s="42"/>
      <c r="P20" s="41">
        <f>P18+P19</f>
        <v>3000</v>
      </c>
    </row>
    <row r="21" spans="1:16" ht="28" x14ac:dyDescent="0.3">
      <c r="A21" s="38" t="s">
        <v>24</v>
      </c>
      <c r="B21" s="49">
        <v>1500</v>
      </c>
      <c r="C21" s="23"/>
      <c r="D21" s="13"/>
      <c r="E21" s="52"/>
      <c r="F21" s="23"/>
      <c r="G21" s="13"/>
      <c r="H21" s="52"/>
      <c r="I21" s="14"/>
      <c r="J21" s="52"/>
      <c r="K21" s="23"/>
      <c r="L21" s="13"/>
      <c r="M21" s="52"/>
      <c r="N21" s="23"/>
      <c r="O21" s="13"/>
      <c r="P21" s="53">
        <v>1500</v>
      </c>
    </row>
    <row r="22" spans="1:16" ht="14" x14ac:dyDescent="0.3">
      <c r="A22" s="39" t="s">
        <v>25</v>
      </c>
      <c r="B22" s="51">
        <f>B20+B21</f>
        <v>1900</v>
      </c>
      <c r="C22" s="44"/>
      <c r="D22" s="45"/>
      <c r="E22" s="45">
        <f>E20+E21</f>
        <v>1100</v>
      </c>
      <c r="F22" s="44"/>
      <c r="G22" s="45"/>
      <c r="H22" s="45">
        <f>H20+H21</f>
        <v>1600</v>
      </c>
      <c r="I22" s="46"/>
      <c r="J22" s="45">
        <f>J21+J20</f>
        <v>0</v>
      </c>
      <c r="K22" s="44"/>
      <c r="L22" s="45"/>
      <c r="M22" s="45">
        <f>M20+M21</f>
        <v>100</v>
      </c>
      <c r="N22" s="44"/>
      <c r="O22" s="45"/>
      <c r="P22" s="44">
        <f>P20+P21</f>
        <v>4500</v>
      </c>
    </row>
    <row r="23" spans="1:16" ht="16" thickBot="1" x14ac:dyDescent="0.4">
      <c r="B23" s="32" t="str">
        <f>IF(B22='P1-2 KEY'!B22,'P1-2'!$B$25,'P1-2'!$B$26)</f>
        <v>OK</v>
      </c>
      <c r="E23" s="32" t="str">
        <f>IF(E22='P1-2 KEY'!E22,'P1-2'!$B$25,'P1-2'!$B$26)</f>
        <v>OK</v>
      </c>
      <c r="H23" s="32" t="str">
        <f>IF(H22='P1-2 KEY'!H22,'P1-2'!$B$25,'P1-2'!$B$26)</f>
        <v>OK</v>
      </c>
      <c r="J23" s="32" t="str">
        <f>IF(J22='P1-2 KEY'!J22,'P1-2'!$B$25,'P1-2'!$B$26)</f>
        <v>OK</v>
      </c>
      <c r="M23" s="32" t="str">
        <f>IF(M22='P1-2 KEY'!M22,'P1-2'!$B$25,'P1-2'!$B$26)</f>
        <v>OK</v>
      </c>
      <c r="P23" s="32" t="str">
        <f>IF(P22='P1-2 KEY'!P22,'P1-2'!$B$25,'P1-2'!$B$26)</f>
        <v>OK</v>
      </c>
    </row>
    <row r="24" spans="1:16" ht="13" thickBot="1" x14ac:dyDescent="0.3">
      <c r="J24" s="34" t="s">
        <v>26</v>
      </c>
      <c r="K24" s="35"/>
      <c r="L24" s="35"/>
      <c r="M24" s="35"/>
      <c r="N24" s="35"/>
      <c r="O24" s="35"/>
      <c r="P24" s="36"/>
    </row>
    <row r="25" spans="1:16" ht="15.5" x14ac:dyDescent="0.35">
      <c r="A25" t="s">
        <v>27</v>
      </c>
      <c r="B25" s="33" t="s">
        <v>28</v>
      </c>
    </row>
    <row r="26" spans="1:16" ht="15.5" x14ac:dyDescent="0.35">
      <c r="A26" t="s">
        <v>29</v>
      </c>
      <c r="B26" s="33" t="s">
        <v>30</v>
      </c>
    </row>
    <row r="27" spans="1:16" x14ac:dyDescent="0.25">
      <c r="A27" t="s">
        <v>31</v>
      </c>
    </row>
  </sheetData>
  <sheetProtection sheet="1" objects="1" scenarios="1" selectLockedCells="1"/>
  <mergeCells count="8">
    <mergeCell ref="N5:O5"/>
    <mergeCell ref="N4:O4"/>
    <mergeCell ref="E1:G1"/>
    <mergeCell ref="B4:H4"/>
    <mergeCell ref="J4:M4"/>
    <mergeCell ref="C5:D5"/>
    <mergeCell ref="F5:G5"/>
    <mergeCell ref="K5:L5"/>
  </mergeCells>
  <phoneticPr fontId="2" type="noConversion"/>
  <conditionalFormatting sqref="B23 M23 E23 H23 J23 P23">
    <cfRule type="cellIs" dxfId="1" priority="1" stopIfTrue="1" operator="equal">
      <formula>$B$26</formula>
    </cfRule>
    <cfRule type="cellIs" dxfId="0" priority="2" stopIfTrue="1" operator="equal">
      <formula>$B$25</formula>
    </cfRule>
  </conditionalFormatting>
  <pageMargins left="0.28000000000000003" right="0.19" top="0.7" bottom="0.65" header="0.5" footer="0.5"/>
  <pageSetup orientation="landscape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22"/>
  <sheetViews>
    <sheetView workbookViewId="0">
      <selection activeCell="J26" sqref="J26"/>
    </sheetView>
  </sheetViews>
  <sheetFormatPr defaultRowHeight="12.5" x14ac:dyDescent="0.25"/>
  <cols>
    <col min="1" max="1" width="31.453125" customWidth="1"/>
    <col min="3" max="4" width="1.7265625" customWidth="1"/>
    <col min="6" max="7" width="1.7265625" customWidth="1"/>
    <col min="8" max="8" width="13" customWidth="1"/>
    <col min="9" max="9" width="1.54296875" customWidth="1"/>
    <col min="10" max="10" width="19.81640625" customWidth="1"/>
    <col min="11" max="12" width="1.7265625" customWidth="1"/>
    <col min="13" max="13" width="19.81640625" customWidth="1"/>
    <col min="14" max="15" width="1.7265625" customWidth="1"/>
    <col min="16" max="16" width="17.453125" customWidth="1"/>
  </cols>
  <sheetData>
    <row r="1" spans="1:16" ht="15.5" x14ac:dyDescent="0.35">
      <c r="A1" s="1" t="s">
        <v>32</v>
      </c>
      <c r="B1" s="1"/>
      <c r="C1" s="1"/>
      <c r="D1" s="1"/>
      <c r="E1" s="59" t="s">
        <v>1</v>
      </c>
      <c r="F1" s="59"/>
      <c r="G1" s="59"/>
      <c r="H1" s="31" t="s">
        <v>33</v>
      </c>
      <c r="I1" s="2"/>
      <c r="J1" s="2"/>
      <c r="K1" s="1"/>
      <c r="L1" s="1"/>
      <c r="M1" s="1"/>
      <c r="N1" s="1"/>
      <c r="O1" s="1"/>
      <c r="P1" s="1"/>
    </row>
    <row r="2" spans="1:16" ht="15.5" x14ac:dyDescent="0.35">
      <c r="A2" s="1" t="s">
        <v>34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.5" x14ac:dyDescent="0.35">
      <c r="A4" s="3"/>
      <c r="B4" s="57" t="s">
        <v>3</v>
      </c>
      <c r="C4" s="58"/>
      <c r="D4" s="58"/>
      <c r="E4" s="58"/>
      <c r="F4" s="58"/>
      <c r="G4" s="58"/>
      <c r="H4" s="58"/>
      <c r="I4" s="5" t="s">
        <v>4</v>
      </c>
      <c r="J4" s="58" t="s">
        <v>35</v>
      </c>
      <c r="K4" s="58"/>
      <c r="L4" s="58"/>
      <c r="M4" s="58"/>
      <c r="N4" s="55" t="s">
        <v>6</v>
      </c>
      <c r="O4" s="55"/>
      <c r="P4" s="6" t="s">
        <v>7</v>
      </c>
    </row>
    <row r="5" spans="1:16" ht="31.5" thickBot="1" x14ac:dyDescent="0.4">
      <c r="A5" s="4" t="s">
        <v>8</v>
      </c>
      <c r="B5" s="7" t="s">
        <v>9</v>
      </c>
      <c r="C5" s="54" t="s">
        <v>6</v>
      </c>
      <c r="D5" s="54"/>
      <c r="E5" s="8" t="s">
        <v>10</v>
      </c>
      <c r="F5" s="54" t="s">
        <v>6</v>
      </c>
      <c r="G5" s="54"/>
      <c r="H5" s="9" t="s">
        <v>11</v>
      </c>
      <c r="I5" s="48" t="s">
        <v>4</v>
      </c>
      <c r="J5" s="9" t="s">
        <v>12</v>
      </c>
      <c r="K5" s="54" t="s">
        <v>6</v>
      </c>
      <c r="L5" s="54"/>
      <c r="M5" s="9" t="s">
        <v>13</v>
      </c>
      <c r="N5" s="54" t="s">
        <v>6</v>
      </c>
      <c r="O5" s="54"/>
      <c r="P5" s="10" t="s">
        <v>14</v>
      </c>
    </row>
    <row r="6" spans="1:16" ht="14" x14ac:dyDescent="0.3">
      <c r="A6" s="19" t="s">
        <v>15</v>
      </c>
      <c r="B6" s="26">
        <v>0</v>
      </c>
      <c r="C6" s="22"/>
      <c r="D6" s="11"/>
      <c r="E6" s="30">
        <v>0</v>
      </c>
      <c r="F6" s="22"/>
      <c r="G6" s="11"/>
      <c r="H6" s="11">
        <v>0</v>
      </c>
      <c r="I6" s="12"/>
      <c r="J6" s="11">
        <v>0</v>
      </c>
      <c r="K6" s="22"/>
      <c r="L6" s="11"/>
      <c r="M6" s="11">
        <v>0</v>
      </c>
      <c r="N6" s="22"/>
      <c r="O6" s="11"/>
      <c r="P6" s="22">
        <v>0</v>
      </c>
    </row>
    <row r="7" spans="1:16" ht="28" x14ac:dyDescent="0.3">
      <c r="A7" s="20" t="s">
        <v>16</v>
      </c>
      <c r="B7" s="27">
        <v>3000</v>
      </c>
      <c r="C7" s="23"/>
      <c r="D7" s="13"/>
      <c r="E7" s="13"/>
      <c r="F7" s="23"/>
      <c r="G7" s="13"/>
      <c r="H7" s="13"/>
      <c r="I7" s="14"/>
      <c r="J7" s="13"/>
      <c r="K7" s="23"/>
      <c r="L7" s="13"/>
      <c r="M7" s="13"/>
      <c r="N7" s="23"/>
      <c r="O7" s="13"/>
      <c r="P7" s="23">
        <v>3000</v>
      </c>
    </row>
    <row r="8" spans="1:16" ht="14" x14ac:dyDescent="0.3">
      <c r="A8" s="19" t="s">
        <v>17</v>
      </c>
      <c r="B8" s="28">
        <v>3000</v>
      </c>
      <c r="C8" s="24"/>
      <c r="D8" s="15"/>
      <c r="E8" s="15"/>
      <c r="F8" s="24"/>
      <c r="G8" s="15"/>
      <c r="H8" s="15"/>
      <c r="I8" s="16"/>
      <c r="J8" s="15"/>
      <c r="K8" s="24"/>
      <c r="L8" s="15"/>
      <c r="M8" s="15"/>
      <c r="N8" s="24"/>
      <c r="O8" s="15"/>
      <c r="P8" s="24">
        <v>3000</v>
      </c>
    </row>
    <row r="9" spans="1:16" ht="28" x14ac:dyDescent="0.3">
      <c r="A9" s="20" t="s">
        <v>18</v>
      </c>
      <c r="B9" s="27">
        <v>-1600</v>
      </c>
      <c r="C9" s="23"/>
      <c r="D9" s="13"/>
      <c r="E9" s="13"/>
      <c r="F9" s="23"/>
      <c r="G9" s="13"/>
      <c r="H9" s="13">
        <v>1600</v>
      </c>
      <c r="I9" s="14"/>
      <c r="J9" s="13"/>
      <c r="K9" s="23"/>
      <c r="L9" s="13"/>
      <c r="M9" s="13"/>
      <c r="N9" s="23"/>
      <c r="O9" s="13"/>
      <c r="P9" s="23"/>
    </row>
    <row r="10" spans="1:16" ht="14" x14ac:dyDescent="0.3">
      <c r="A10" s="19" t="s">
        <v>17</v>
      </c>
      <c r="B10" s="28">
        <f>B9+B8</f>
        <v>1400</v>
      </c>
      <c r="C10" s="24"/>
      <c r="D10" s="15"/>
      <c r="E10" s="15"/>
      <c r="F10" s="24"/>
      <c r="G10" s="15"/>
      <c r="H10" s="15">
        <v>1600</v>
      </c>
      <c r="I10" s="16"/>
      <c r="J10" s="15"/>
      <c r="K10" s="24"/>
      <c r="L10" s="15"/>
      <c r="M10" s="15"/>
      <c r="N10" s="24"/>
      <c r="O10" s="15"/>
      <c r="P10" s="24">
        <v>3000</v>
      </c>
    </row>
    <row r="11" spans="1:16" ht="28" x14ac:dyDescent="0.3">
      <c r="A11" s="20" t="s">
        <v>19</v>
      </c>
      <c r="B11" s="27"/>
      <c r="C11" s="23"/>
      <c r="D11" s="13"/>
      <c r="E11" s="13">
        <v>700</v>
      </c>
      <c r="F11" s="23"/>
      <c r="G11" s="13"/>
      <c r="H11" s="13"/>
      <c r="I11" s="14"/>
      <c r="J11" s="13">
        <v>700</v>
      </c>
      <c r="K11" s="23"/>
      <c r="L11" s="13"/>
      <c r="M11" s="13"/>
      <c r="N11" s="23"/>
      <c r="O11" s="13"/>
      <c r="P11" s="23"/>
    </row>
    <row r="12" spans="1:16" ht="14" x14ac:dyDescent="0.3">
      <c r="A12" s="19" t="s">
        <v>17</v>
      </c>
      <c r="B12" s="28">
        <v>1400</v>
      </c>
      <c r="C12" s="24"/>
      <c r="D12" s="15"/>
      <c r="E12" s="15">
        <v>700</v>
      </c>
      <c r="F12" s="24"/>
      <c r="G12" s="15"/>
      <c r="H12" s="15">
        <v>1600</v>
      </c>
      <c r="I12" s="16"/>
      <c r="J12" s="15">
        <v>700</v>
      </c>
      <c r="K12" s="24"/>
      <c r="L12" s="15"/>
      <c r="M12" s="15"/>
      <c r="N12" s="24"/>
      <c r="O12" s="15"/>
      <c r="P12" s="24">
        <v>3000</v>
      </c>
    </row>
    <row r="13" spans="1:16" ht="28" x14ac:dyDescent="0.3">
      <c r="A13" s="20" t="s">
        <v>20</v>
      </c>
      <c r="B13" s="27"/>
      <c r="C13" s="23"/>
      <c r="D13" s="13"/>
      <c r="E13" s="13">
        <v>300</v>
      </c>
      <c r="F13" s="23"/>
      <c r="G13" s="13"/>
      <c r="H13" s="13"/>
      <c r="I13" s="14"/>
      <c r="J13" s="13"/>
      <c r="K13" s="23"/>
      <c r="L13" s="13"/>
      <c r="M13" s="13">
        <v>300</v>
      </c>
      <c r="N13" s="23"/>
      <c r="O13" s="13"/>
      <c r="P13" s="23"/>
    </row>
    <row r="14" spans="1:16" ht="14" x14ac:dyDescent="0.3">
      <c r="A14" s="19" t="s">
        <v>17</v>
      </c>
      <c r="B14" s="28">
        <v>1400</v>
      </c>
      <c r="C14" s="24"/>
      <c r="D14" s="15"/>
      <c r="E14" s="15">
        <v>1000</v>
      </c>
      <c r="F14" s="24"/>
      <c r="G14" s="15"/>
      <c r="H14" s="15">
        <v>1600</v>
      </c>
      <c r="I14" s="16"/>
      <c r="J14" s="15">
        <v>700</v>
      </c>
      <c r="K14" s="24"/>
      <c r="L14" s="15"/>
      <c r="M14" s="15">
        <v>300</v>
      </c>
      <c r="N14" s="24"/>
      <c r="O14" s="15"/>
      <c r="P14" s="24">
        <v>3000</v>
      </c>
    </row>
    <row r="15" spans="1:16" ht="28" x14ac:dyDescent="0.3">
      <c r="A15" s="20" t="s">
        <v>21</v>
      </c>
      <c r="B15" s="27">
        <v>-700</v>
      </c>
      <c r="C15" s="23"/>
      <c r="D15" s="13"/>
      <c r="E15" s="13"/>
      <c r="F15" s="23"/>
      <c r="G15" s="13"/>
      <c r="H15" s="13"/>
      <c r="I15" s="14"/>
      <c r="J15" s="13">
        <v>-700</v>
      </c>
      <c r="K15" s="23"/>
      <c r="L15" s="13"/>
      <c r="M15" s="13"/>
      <c r="N15" s="23"/>
      <c r="O15" s="13"/>
      <c r="P15" s="23"/>
    </row>
    <row r="16" spans="1:16" ht="14" x14ac:dyDescent="0.3">
      <c r="A16" s="19" t="s">
        <v>17</v>
      </c>
      <c r="B16" s="28">
        <v>700</v>
      </c>
      <c r="C16" s="24"/>
      <c r="D16" s="15"/>
      <c r="E16" s="15">
        <v>1000</v>
      </c>
      <c r="F16" s="24"/>
      <c r="G16" s="15"/>
      <c r="H16" s="15">
        <v>1600</v>
      </c>
      <c r="I16" s="16"/>
      <c r="J16" s="15">
        <v>0</v>
      </c>
      <c r="K16" s="24"/>
      <c r="L16" s="15"/>
      <c r="M16" s="15">
        <v>300</v>
      </c>
      <c r="N16" s="24"/>
      <c r="O16" s="15"/>
      <c r="P16" s="24">
        <v>3000</v>
      </c>
    </row>
    <row r="17" spans="1:16" ht="31.5" customHeight="1" x14ac:dyDescent="0.3">
      <c r="A17" s="20" t="s">
        <v>22</v>
      </c>
      <c r="B17" s="27">
        <v>-200</v>
      </c>
      <c r="C17" s="23"/>
      <c r="D17" s="13"/>
      <c r="E17" s="13"/>
      <c r="F17" s="23"/>
      <c r="G17" s="13"/>
      <c r="H17" s="13"/>
      <c r="I17" s="14"/>
      <c r="J17" s="13"/>
      <c r="K17" s="23"/>
      <c r="L17" s="13"/>
      <c r="M17" s="13">
        <v>-200</v>
      </c>
      <c r="N17" s="23"/>
      <c r="O17" s="13"/>
      <c r="P17" s="23"/>
    </row>
    <row r="18" spans="1:16" ht="14" x14ac:dyDescent="0.3">
      <c r="A18" s="19" t="s">
        <v>17</v>
      </c>
      <c r="B18" s="28">
        <v>500</v>
      </c>
      <c r="C18" s="24"/>
      <c r="D18" s="15"/>
      <c r="E18" s="15">
        <v>1000</v>
      </c>
      <c r="F18" s="24"/>
      <c r="G18" s="15"/>
      <c r="H18" s="15">
        <v>1600</v>
      </c>
      <c r="I18" s="16"/>
      <c r="J18" s="15">
        <v>0</v>
      </c>
      <c r="K18" s="24"/>
      <c r="L18" s="15"/>
      <c r="M18" s="15">
        <v>100</v>
      </c>
      <c r="N18" s="24"/>
      <c r="O18" s="15"/>
      <c r="P18" s="24">
        <v>3000</v>
      </c>
    </row>
    <row r="19" spans="1:16" ht="14" x14ac:dyDescent="0.3">
      <c r="A19" s="20" t="s">
        <v>23</v>
      </c>
      <c r="B19" s="27">
        <v>-100</v>
      </c>
      <c r="C19" s="23"/>
      <c r="D19" s="13"/>
      <c r="E19" s="13">
        <v>100</v>
      </c>
      <c r="F19" s="23"/>
      <c r="G19" s="13"/>
      <c r="H19" s="13"/>
      <c r="I19" s="14"/>
      <c r="J19" s="13"/>
      <c r="K19" s="23"/>
      <c r="L19" s="13"/>
      <c r="M19" s="13"/>
      <c r="N19" s="23"/>
      <c r="O19" s="13"/>
      <c r="P19" s="23"/>
    </row>
    <row r="20" spans="1:16" ht="14" x14ac:dyDescent="0.3">
      <c r="A20" s="19" t="s">
        <v>17</v>
      </c>
      <c r="B20" s="28">
        <v>400</v>
      </c>
      <c r="C20" s="24"/>
      <c r="D20" s="15"/>
      <c r="E20" s="15">
        <v>1100</v>
      </c>
      <c r="F20" s="24"/>
      <c r="G20" s="15"/>
      <c r="H20" s="15">
        <v>1600</v>
      </c>
      <c r="I20" s="16"/>
      <c r="J20" s="15">
        <v>0</v>
      </c>
      <c r="K20" s="24"/>
      <c r="L20" s="15"/>
      <c r="M20" s="15">
        <v>100</v>
      </c>
      <c r="N20" s="24"/>
      <c r="O20" s="15"/>
      <c r="P20" s="24">
        <v>3000</v>
      </c>
    </row>
    <row r="21" spans="1:16" ht="28" x14ac:dyDescent="0.3">
      <c r="A21" s="20" t="s">
        <v>24</v>
      </c>
      <c r="B21" s="27">
        <v>1500</v>
      </c>
      <c r="C21" s="23"/>
      <c r="D21" s="13"/>
      <c r="E21" s="13"/>
      <c r="F21" s="23"/>
      <c r="G21" s="13"/>
      <c r="H21" s="13"/>
      <c r="I21" s="14"/>
      <c r="J21" s="13"/>
      <c r="K21" s="23"/>
      <c r="L21" s="13"/>
      <c r="M21" s="13"/>
      <c r="N21" s="23"/>
      <c r="O21" s="13"/>
      <c r="P21" s="23">
        <v>1500</v>
      </c>
    </row>
    <row r="22" spans="1:16" ht="14" x14ac:dyDescent="0.3">
      <c r="A22" s="21" t="s">
        <v>25</v>
      </c>
      <c r="B22" s="29">
        <v>1900</v>
      </c>
      <c r="C22" s="25"/>
      <c r="D22" s="17"/>
      <c r="E22" s="17">
        <v>1100</v>
      </c>
      <c r="F22" s="25"/>
      <c r="G22" s="17"/>
      <c r="H22" s="17">
        <v>1600</v>
      </c>
      <c r="I22" s="18"/>
      <c r="J22" s="17">
        <v>0</v>
      </c>
      <c r="K22" s="25"/>
      <c r="L22" s="17"/>
      <c r="M22" s="17">
        <v>100</v>
      </c>
      <c r="N22" s="25"/>
      <c r="O22" s="17"/>
      <c r="P22" s="25">
        <v>4500</v>
      </c>
    </row>
  </sheetData>
  <mergeCells count="8">
    <mergeCell ref="E1:G1"/>
    <mergeCell ref="N5:O5"/>
    <mergeCell ref="N4:O4"/>
    <mergeCell ref="B4:H4"/>
    <mergeCell ref="J4:M4"/>
    <mergeCell ref="C5:D5"/>
    <mergeCell ref="F5:G5"/>
    <mergeCell ref="K5:L5"/>
  </mergeCells>
  <phoneticPr fontId="2" type="noConversion"/>
  <pageMargins left="0.28000000000000003" right="0.19" top="0.7" bottom="0.65" header="0.5" footer="0.5"/>
  <pageSetup orientation="landscape" horizontalDpi="4294967293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1D0F4B-1D58-4496-9B40-868B8A49558A}">
  <ds:schemaRefs>
    <ds:schemaRef ds:uri="d5bf7610-0a90-45dc-b926-1b234e6c6756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d758baea-510e-4597-bb40-a09e4fc0f41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DF76B01-573C-42BB-ABAB-A6B8DC24BB4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4EED47-8107-4016-B75D-D99FCB62CC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P1-2</vt:lpstr>
      <vt:lpstr>P1-2 KEY</vt:lpstr>
      <vt:lpstr>answers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2007-08-13T18:45:30Z</dcterms:created>
  <dcterms:modified xsi:type="dcterms:W3CDTF">2023-09-06T19:38:38Z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1900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