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5/"/>
    </mc:Choice>
  </mc:AlternateContent>
  <xr:revisionPtr revIDLastSave="1" documentId="8_{4593F5C1-3E5F-4764-BD2C-C7C9A548A1D1}" xr6:coauthVersionLast="47" xr6:coauthVersionMax="47" xr10:uidLastSave="{AC08EEB7-FFE7-4350-B856-6363131ADEC9}"/>
  <bookViews>
    <workbookView xWindow="-120" yWindow="-120" windowWidth="24240" windowHeight="13140" xr2:uid="{00000000-000D-0000-FFFF-FFFF00000000}"/>
  </bookViews>
  <sheets>
    <sheet name="5-2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08" i="1" l="1"/>
  <c r="D47" i="1"/>
  <c r="J26" i="1"/>
  <c r="J24" i="1"/>
  <c r="J15" i="1"/>
  <c r="D26" i="1"/>
  <c r="D45" i="1"/>
  <c r="G62" i="1"/>
  <c r="J74" i="1"/>
  <c r="J76" i="1" s="1"/>
  <c r="D76" i="1"/>
  <c r="D87" i="1" s="1"/>
  <c r="J85" i="1"/>
  <c r="D106" i="1"/>
  <c r="J87" i="1" l="1"/>
</calcChain>
</file>

<file path=xl/sharedStrings.xml><?xml version="1.0" encoding="utf-8"?>
<sst xmlns="http://schemas.openxmlformats.org/spreadsheetml/2006/main" count="119" uniqueCount="52">
  <si>
    <t>RECONCILIATION OF BANK STATEMENT</t>
  </si>
  <si>
    <t>DATE</t>
  </si>
  <si>
    <t xml:space="preserve"> </t>
  </si>
  <si>
    <t>Balance on Check Stub No.</t>
  </si>
  <si>
    <t>DEDUCT BANK CHARGES:</t>
  </si>
  <si>
    <t>ADD OUTSTANDING DEPOSITS:</t>
  </si>
  <si>
    <t>Description</t>
  </si>
  <si>
    <t>Amount</t>
  </si>
  <si>
    <t>Date</t>
  </si>
  <si>
    <t>SUBTOTAL</t>
  </si>
  <si>
    <t>DEDUCT OUTSTANDING CHECKS:</t>
  </si>
  <si>
    <t>Ck.</t>
  </si>
  <si>
    <t>No.</t>
  </si>
  <si>
    <t>Adjusted Check Stub Balance</t>
  </si>
  <si>
    <t>Adjusted Bank Balance</t>
  </si>
  <si>
    <t>Accounting 1 work together 5-2</t>
  </si>
  <si>
    <t>NAME:</t>
  </si>
  <si>
    <t>Balance on Bank Statement</t>
  </si>
  <si>
    <t>Total bank charges ►</t>
  </si>
  <si>
    <t>Total outstanding deposits ►</t>
  </si>
  <si>
    <t>Total outstanding checks ►</t>
  </si>
  <si>
    <t>NO.</t>
  </si>
  <si>
    <t>Date:</t>
  </si>
  <si>
    <t>To:</t>
  </si>
  <si>
    <t>For:</t>
  </si>
  <si>
    <t>AMT. DEPOSITED</t>
  </si>
  <si>
    <t>AMT. THIS CHECK</t>
  </si>
  <si>
    <t>BAL CAR'D. FOR'D</t>
  </si>
  <si>
    <t>BAL BRO'T. FOR'D</t>
  </si>
  <si>
    <t xml:space="preserve">NO.   </t>
  </si>
  <si>
    <t xml:space="preserve">OTHER    </t>
  </si>
  <si>
    <t>GENERAL JOURNAL</t>
  </si>
  <si>
    <t>PAGE</t>
  </si>
  <si>
    <t>DOC.</t>
  </si>
  <si>
    <t>POST.</t>
  </si>
  <si>
    <t>GENERAL</t>
  </si>
  <si>
    <t>ACCOUNT TITLE</t>
  </si>
  <si>
    <t>REF.</t>
  </si>
  <si>
    <t>DEBIT</t>
  </si>
  <si>
    <t>CREDIT</t>
  </si>
  <si>
    <t>Accounting 1 on your own 5-2</t>
  </si>
  <si>
    <t>1 of 1</t>
  </si>
  <si>
    <t>page 134</t>
  </si>
  <si>
    <t>Dhruv Patil</t>
  </si>
  <si>
    <t xml:space="preserve">Service Charge </t>
  </si>
  <si>
    <t>Service Charge</t>
  </si>
  <si>
    <t xml:space="preserve">Miscellaneous Expense </t>
  </si>
  <si>
    <t>M77</t>
  </si>
  <si>
    <t>Cash</t>
  </si>
  <si>
    <t>M75</t>
  </si>
  <si>
    <t>Miscellaneous Expense</t>
  </si>
  <si>
    <t xml:space="preserve">Servicer Charge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</si>
</sst>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m/d/yy;@"/>
  </numFmts>
  <fonts count="10" x14ac:knownFonts="1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sz val="11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6"/>
      <name val="Arial"/>
      <family val="2"/>
    </font>
    <font>
      <sz val="9"/>
      <name val="Arial"/>
      <family val="2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99">
    <xf numFmtId="0" fontId="0" fillId="0" borderId="0" xfId="0"/>
    <xf numFmtId="0" fontId="3" fillId="0" borderId="0" xfId="0" applyFont="1" applyAlignment="1">
      <alignment horizontal="left"/>
    </xf>
    <xf numFmtId="0" fontId="4" fillId="0" borderId="1" xfId="0" applyFont="1" applyBorder="1" applyProtection="1">
      <protection locked="0"/>
    </xf>
    <xf numFmtId="43" fontId="4" fillId="0" borderId="1" xfId="1" applyFont="1" applyBorder="1" applyProtection="1">
      <protection locked="0"/>
    </xf>
    <xf numFmtId="0" fontId="4" fillId="0" borderId="2" xfId="0" applyFont="1" applyBorder="1" applyProtection="1">
      <protection locked="0"/>
    </xf>
    <xf numFmtId="43" fontId="4" fillId="0" borderId="2" xfId="1" applyFont="1" applyBorder="1" applyProtection="1">
      <protection locked="0"/>
    </xf>
    <xf numFmtId="0" fontId="4" fillId="0" borderId="3" xfId="0" applyFont="1" applyBorder="1" applyProtection="1">
      <protection locked="0"/>
    </xf>
    <xf numFmtId="43" fontId="4" fillId="0" borderId="3" xfId="1" applyFont="1" applyBorder="1" applyProtection="1">
      <protection locked="0"/>
    </xf>
    <xf numFmtId="43" fontId="4" fillId="0" borderId="4" xfId="1" applyFont="1" applyBorder="1" applyProtection="1">
      <protection locked="0"/>
    </xf>
    <xf numFmtId="43" fontId="4" fillId="0" borderId="5" xfId="1" applyFont="1" applyBorder="1" applyProtection="1">
      <protection locked="0"/>
    </xf>
    <xf numFmtId="43" fontId="4" fillId="0" borderId="6" xfId="1" applyFont="1" applyBorder="1" applyProtection="1">
      <protection locked="0"/>
    </xf>
    <xf numFmtId="0" fontId="4" fillId="0" borderId="7" xfId="0" applyFont="1" applyBorder="1" applyProtection="1">
      <protection locked="0"/>
    </xf>
    <xf numFmtId="0" fontId="4" fillId="0" borderId="8" xfId="0" applyFont="1" applyBorder="1" applyProtection="1">
      <protection locked="0"/>
    </xf>
    <xf numFmtId="0" fontId="3" fillId="0" borderId="9" xfId="0" applyFont="1" applyBorder="1"/>
    <xf numFmtId="0" fontId="5" fillId="0" borderId="0" xfId="0" applyFont="1"/>
    <xf numFmtId="0" fontId="5" fillId="0" borderId="9" xfId="0" applyFont="1" applyBorder="1"/>
    <xf numFmtId="0" fontId="5" fillId="0" borderId="9" xfId="0" applyFont="1" applyBorder="1" applyAlignment="1">
      <alignment horizontal="right"/>
    </xf>
    <xf numFmtId="44" fontId="5" fillId="0" borderId="10" xfId="2" applyFont="1" applyBorder="1" applyAlignment="1">
      <alignment horizontal="right"/>
    </xf>
    <xf numFmtId="0" fontId="5" fillId="0" borderId="2" xfId="0" applyFont="1" applyBorder="1" applyAlignment="1">
      <alignment horizontal="centerContinuous"/>
    </xf>
    <xf numFmtId="0" fontId="5" fillId="0" borderId="2" xfId="0" applyFont="1" applyBorder="1" applyAlignment="1">
      <alignment horizontal="center"/>
    </xf>
    <xf numFmtId="0" fontId="5" fillId="0" borderId="11" xfId="0" applyFont="1" applyBorder="1" applyAlignment="1">
      <alignment horizontal="centerContinuous"/>
    </xf>
    <xf numFmtId="0" fontId="5" fillId="0" borderId="12" xfId="0" applyFont="1" applyBorder="1" applyAlignment="1">
      <alignment horizontal="centerContinuous"/>
    </xf>
    <xf numFmtId="0" fontId="5" fillId="0" borderId="2" xfId="0" applyFont="1" applyBorder="1"/>
    <xf numFmtId="0" fontId="5" fillId="0" borderId="13" xfId="0" applyFont="1" applyBorder="1" applyAlignment="1">
      <alignment horizontal="right"/>
    </xf>
    <xf numFmtId="0" fontId="5" fillId="0" borderId="0" xfId="0" applyFont="1" applyAlignment="1">
      <alignment horizontal="right"/>
    </xf>
    <xf numFmtId="0" fontId="5" fillId="0" borderId="14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5" xfId="0" applyFont="1" applyBorder="1"/>
    <xf numFmtId="0" fontId="5" fillId="0" borderId="13" xfId="0" applyFont="1" applyBorder="1"/>
    <xf numFmtId="0" fontId="5" fillId="0" borderId="16" xfId="0" applyFont="1" applyBorder="1"/>
    <xf numFmtId="0" fontId="5" fillId="0" borderId="17" xfId="0" applyFont="1" applyBorder="1" applyAlignment="1">
      <alignment horizontal="right"/>
    </xf>
    <xf numFmtId="44" fontId="5" fillId="0" borderId="9" xfId="2" applyFont="1" applyBorder="1"/>
    <xf numFmtId="0" fontId="5" fillId="0" borderId="18" xfId="0" applyFont="1" applyBorder="1"/>
    <xf numFmtId="0" fontId="5" fillId="0" borderId="17" xfId="0" applyFont="1" applyBorder="1"/>
    <xf numFmtId="0" fontId="5" fillId="0" borderId="19" xfId="0" applyFont="1" applyBorder="1"/>
    <xf numFmtId="0" fontId="5" fillId="0" borderId="20" xfId="0" applyFont="1" applyBorder="1"/>
    <xf numFmtId="0" fontId="5" fillId="0" borderId="21" xfId="0" applyFont="1" applyBorder="1"/>
    <xf numFmtId="0" fontId="5" fillId="0" borderId="22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4" xfId="0" applyFont="1" applyBorder="1"/>
    <xf numFmtId="0" fontId="5" fillId="0" borderId="25" xfId="0" applyFont="1" applyBorder="1"/>
    <xf numFmtId="0" fontId="6" fillId="0" borderId="9" xfId="0" applyFont="1" applyBorder="1" applyAlignment="1">
      <alignment horizontal="left"/>
    </xf>
    <xf numFmtId="0" fontId="6" fillId="0" borderId="9" xfId="0" applyFont="1" applyBorder="1" applyAlignment="1">
      <alignment horizontal="center"/>
    </xf>
    <xf numFmtId="0" fontId="6" fillId="0" borderId="9" xfId="0" applyFont="1" applyBorder="1" applyAlignment="1">
      <alignment horizontal="right"/>
    </xf>
    <xf numFmtId="0" fontId="7" fillId="0" borderId="26" xfId="0" applyFont="1" applyBorder="1"/>
    <xf numFmtId="0" fontId="7" fillId="0" borderId="26" xfId="0" applyFont="1" applyBorder="1" applyAlignment="1">
      <alignment horizontal="center"/>
    </xf>
    <xf numFmtId="0" fontId="8" fillId="0" borderId="27" xfId="0" applyFont="1" applyBorder="1"/>
    <xf numFmtId="0" fontId="8" fillId="0" borderId="28" xfId="0" applyFont="1" applyBorder="1" applyAlignment="1">
      <alignment horizontal="center"/>
    </xf>
    <xf numFmtId="0" fontId="8" fillId="0" borderId="0" xfId="0" applyFont="1" applyAlignment="1">
      <alignment horizontal="centerContinuous" vertical="center"/>
    </xf>
    <xf numFmtId="0" fontId="8" fillId="0" borderId="29" xfId="0" applyFont="1" applyBorder="1" applyAlignment="1">
      <alignment horizontal="centerContinuous" vertic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164" fontId="5" fillId="0" borderId="2" xfId="2" applyNumberFormat="1" applyFont="1" applyBorder="1" applyAlignment="1">
      <alignment horizontal="center"/>
    </xf>
    <xf numFmtId="164" fontId="5" fillId="0" borderId="2" xfId="0" applyNumberFormat="1" applyFont="1" applyBorder="1"/>
    <xf numFmtId="7" fontId="5" fillId="0" borderId="10" xfId="0" applyNumberFormat="1" applyFont="1" applyBorder="1"/>
    <xf numFmtId="164" fontId="5" fillId="0" borderId="34" xfId="0" applyNumberFormat="1" applyFont="1" applyBorder="1"/>
    <xf numFmtId="164" fontId="5" fillId="0" borderId="2" xfId="0" applyNumberFormat="1" applyFont="1" applyBorder="1" applyAlignment="1">
      <alignment horizontal="center"/>
    </xf>
    <xf numFmtId="8" fontId="5" fillId="0" borderId="2" xfId="0" applyNumberFormat="1" applyFont="1" applyBorder="1"/>
    <xf numFmtId="0" fontId="3" fillId="0" borderId="15" xfId="0" applyFont="1" applyBorder="1"/>
    <xf numFmtId="14" fontId="5" fillId="0" borderId="24" xfId="0" applyNumberFormat="1" applyFont="1" applyBorder="1" applyAlignment="1">
      <alignment horizontal="centerContinuous"/>
    </xf>
    <xf numFmtId="0" fontId="5" fillId="0" borderId="17" xfId="0" applyFont="1" applyBorder="1" applyAlignment="1">
      <alignment horizontal="left"/>
    </xf>
    <xf numFmtId="44" fontId="5" fillId="0" borderId="35" xfId="2" applyFont="1" applyBorder="1"/>
    <xf numFmtId="0" fontId="3" fillId="0" borderId="17" xfId="0" applyFont="1" applyBorder="1"/>
    <xf numFmtId="0" fontId="3" fillId="0" borderId="0" xfId="0" applyFont="1"/>
    <xf numFmtId="7" fontId="5" fillId="0" borderId="35" xfId="0" applyNumberFormat="1" applyFont="1" applyBorder="1"/>
    <xf numFmtId="44" fontId="5" fillId="0" borderId="35" xfId="0" applyNumberFormat="1" applyFont="1" applyBorder="1"/>
    <xf numFmtId="164" fontId="5" fillId="0" borderId="35" xfId="0" applyNumberFormat="1" applyFont="1" applyBorder="1"/>
    <xf numFmtId="164" fontId="5" fillId="0" borderId="36" xfId="0" applyNumberFormat="1" applyFont="1" applyBorder="1"/>
    <xf numFmtId="164" fontId="5" fillId="0" borderId="9" xfId="0" applyNumberFormat="1" applyFont="1" applyBorder="1"/>
    <xf numFmtId="164" fontId="5" fillId="0" borderId="25" xfId="0" applyNumberFormat="1" applyFont="1" applyBorder="1"/>
    <xf numFmtId="0" fontId="9" fillId="0" borderId="28" xfId="0" applyFont="1" applyBorder="1" applyAlignment="1">
      <alignment horizontal="center"/>
    </xf>
    <xf numFmtId="0" fontId="9" fillId="0" borderId="31" xfId="0" applyFont="1" applyBorder="1" applyAlignment="1">
      <alignment horizontal="center"/>
    </xf>
    <xf numFmtId="165" fontId="4" fillId="0" borderId="37" xfId="0" applyNumberFormat="1" applyFont="1" applyBorder="1" applyAlignment="1" applyProtection="1">
      <alignment horizontal="center"/>
      <protection locked="0"/>
    </xf>
    <xf numFmtId="14" fontId="5" fillId="0" borderId="9" xfId="0" applyNumberFormat="1" applyFont="1" applyBorder="1"/>
    <xf numFmtId="8" fontId="5" fillId="0" borderId="10" xfId="2" applyNumberFormat="1" applyFont="1" applyBorder="1" applyAlignment="1">
      <alignment horizontal="right"/>
    </xf>
    <xf numFmtId="0" fontId="5" fillId="0" borderId="14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/>
    </xf>
    <xf numFmtId="0" fontId="8" fillId="0" borderId="36" xfId="0" applyFont="1" applyBorder="1" applyAlignment="1">
      <alignment horizontal="center"/>
    </xf>
    <xf numFmtId="0" fontId="4" fillId="0" borderId="40" xfId="0" applyFont="1" applyBorder="1" applyAlignment="1" applyProtection="1">
      <alignment horizontal="left"/>
      <protection locked="0"/>
    </xf>
    <xf numFmtId="0" fontId="4" fillId="0" borderId="41" xfId="0" applyFont="1" applyBorder="1" applyAlignment="1" applyProtection="1">
      <alignment horizontal="left"/>
      <protection locked="0"/>
    </xf>
    <xf numFmtId="7" fontId="5" fillId="0" borderId="11" xfId="2" applyNumberFormat="1" applyFont="1" applyBorder="1" applyAlignment="1">
      <alignment horizontal="center"/>
    </xf>
    <xf numFmtId="7" fontId="5" fillId="0" borderId="12" xfId="2" applyNumberFormat="1" applyFont="1" applyBorder="1" applyAlignment="1">
      <alignment horizontal="center"/>
    </xf>
    <xf numFmtId="0" fontId="5" fillId="0" borderId="11" xfId="0" applyFont="1" applyBorder="1" applyAlignment="1">
      <alignment horizontal="left"/>
    </xf>
    <xf numFmtId="0" fontId="5" fillId="0" borderId="12" xfId="0" applyFont="1" applyBorder="1" applyAlignment="1">
      <alignment horizontal="left"/>
    </xf>
    <xf numFmtId="14" fontId="5" fillId="0" borderId="11" xfId="0" applyNumberFormat="1" applyFont="1" applyBorder="1" applyAlignment="1">
      <alignment horizontal="center"/>
    </xf>
    <xf numFmtId="14" fontId="5" fillId="0" borderId="12" xfId="0" applyNumberFormat="1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4" fillId="0" borderId="20" xfId="0" applyFont="1" applyBorder="1" applyAlignment="1" applyProtection="1">
      <alignment horizontal="left"/>
      <protection locked="0"/>
    </xf>
    <xf numFmtId="0" fontId="4" fillId="0" borderId="42" xfId="0" applyFont="1" applyBorder="1" applyAlignment="1" applyProtection="1">
      <alignment horizontal="left"/>
      <protection locked="0"/>
    </xf>
    <xf numFmtId="0" fontId="8" fillId="0" borderId="38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4" fillId="0" borderId="11" xfId="0" applyFont="1" applyBorder="1" applyAlignment="1" applyProtection="1">
      <alignment horizontal="left" indent="1"/>
      <protection locked="0"/>
    </xf>
    <xf numFmtId="0" fontId="4" fillId="0" borderId="12" xfId="0" applyFont="1" applyBorder="1" applyAlignment="1" applyProtection="1">
      <alignment horizontal="left" indent="1"/>
      <protection locked="0"/>
    </xf>
    <xf numFmtId="0" fontId="4" fillId="0" borderId="11" xfId="0" applyFont="1" applyBorder="1" applyAlignment="1" applyProtection="1">
      <alignment horizontal="left"/>
      <protection locked="0"/>
    </xf>
    <xf numFmtId="0" fontId="4" fillId="0" borderId="12" xfId="0" applyFont="1" applyBorder="1" applyAlignment="1" applyProtection="1">
      <alignment horizontal="left"/>
      <protection locked="0"/>
    </xf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22"/>
  <sheetViews>
    <sheetView tabSelected="1" topLeftCell="A19" zoomScaleNormal="100" workbookViewId="0">
      <selection activeCell="H93" sqref="H93"/>
    </sheetView>
  </sheetViews>
  <sheetFormatPr defaultRowHeight="12.75" x14ac:dyDescent="0.2"/>
  <cols>
    <col min="1" max="1" width="17.140625" customWidth="1"/>
    <col min="2" max="2" width="13.140625" customWidth="1"/>
    <col min="3" max="3" width="10.85546875" customWidth="1"/>
    <col min="4" max="4" width="10.28515625" bestFit="1" customWidth="1"/>
    <col min="5" max="5" width="5.42578125" customWidth="1"/>
    <col min="10" max="10" width="10.28515625" bestFit="1" customWidth="1"/>
  </cols>
  <sheetData>
    <row r="1" spans="1:10" x14ac:dyDescent="0.2">
      <c r="A1" s="14" t="s">
        <v>15</v>
      </c>
      <c r="B1" s="14"/>
      <c r="C1" s="14"/>
      <c r="D1" s="14"/>
      <c r="E1" s="14"/>
      <c r="F1" s="14" t="s">
        <v>16</v>
      </c>
      <c r="G1" s="13" t="s">
        <v>43</v>
      </c>
      <c r="H1" s="15"/>
      <c r="I1" s="14"/>
      <c r="J1" s="14"/>
    </row>
    <row r="2" spans="1:10" x14ac:dyDescent="0.2">
      <c r="A2" s="14" t="s">
        <v>42</v>
      </c>
      <c r="B2" s="14"/>
      <c r="C2" s="14"/>
      <c r="D2" s="14"/>
      <c r="E2" s="14"/>
      <c r="F2" s="14"/>
      <c r="G2" s="14"/>
      <c r="H2" s="14"/>
      <c r="I2" s="14"/>
      <c r="J2" s="14"/>
    </row>
    <row r="3" spans="1:10" x14ac:dyDescent="0.2">
      <c r="A3" s="14"/>
      <c r="B3" s="14"/>
      <c r="C3" s="14"/>
      <c r="D3" s="14"/>
      <c r="E3" s="14"/>
      <c r="F3" s="14"/>
      <c r="G3" s="14"/>
      <c r="H3" s="14"/>
      <c r="I3" s="14"/>
      <c r="J3" s="14"/>
    </row>
    <row r="4" spans="1:10" x14ac:dyDescent="0.2">
      <c r="A4" s="61" t="s">
        <v>0</v>
      </c>
      <c r="B4" s="28"/>
      <c r="C4" s="28"/>
      <c r="D4" s="28"/>
      <c r="E4" s="28"/>
      <c r="F4" s="28"/>
      <c r="G4" s="28"/>
      <c r="H4" s="23" t="s">
        <v>1</v>
      </c>
      <c r="I4" s="62">
        <v>45167</v>
      </c>
      <c r="J4" s="21"/>
    </row>
    <row r="5" spans="1:10" x14ac:dyDescent="0.2">
      <c r="A5" s="33"/>
      <c r="B5" s="14"/>
      <c r="C5" s="14"/>
      <c r="D5" s="14"/>
      <c r="E5" s="14"/>
      <c r="F5" s="14"/>
      <c r="G5" s="14"/>
      <c r="H5" s="14"/>
      <c r="I5" s="14"/>
      <c r="J5" s="32"/>
    </row>
    <row r="6" spans="1:10" x14ac:dyDescent="0.2">
      <c r="A6" s="33"/>
      <c r="B6" s="14"/>
      <c r="C6" s="14"/>
      <c r="D6" s="14"/>
      <c r="E6" s="14"/>
      <c r="F6" s="14"/>
      <c r="G6" s="14"/>
      <c r="H6" s="14"/>
      <c r="I6" s="14"/>
      <c r="J6" s="32"/>
    </row>
    <row r="7" spans="1:10" ht="13.5" thickBot="1" x14ac:dyDescent="0.25">
      <c r="A7" s="63"/>
      <c r="B7" s="24" t="s">
        <v>3</v>
      </c>
      <c r="C7" s="16">
        <v>309</v>
      </c>
      <c r="D7" s="77">
        <v>2822</v>
      </c>
      <c r="E7" s="14"/>
      <c r="F7" s="14" t="s">
        <v>17</v>
      </c>
      <c r="G7" s="14"/>
      <c r="H7" s="14"/>
      <c r="I7" s="14"/>
      <c r="J7" s="64">
        <v>2712</v>
      </c>
    </row>
    <row r="8" spans="1:10" x14ac:dyDescent="0.2">
      <c r="A8" s="33"/>
      <c r="B8" s="14"/>
      <c r="C8" s="14"/>
      <c r="D8" s="14"/>
      <c r="E8" s="14"/>
      <c r="F8" s="14"/>
      <c r="G8" s="14"/>
      <c r="H8" s="14"/>
      <c r="I8" s="14"/>
      <c r="J8" s="32"/>
    </row>
    <row r="9" spans="1:10" x14ac:dyDescent="0.2">
      <c r="A9" s="65" t="s">
        <v>4</v>
      </c>
      <c r="B9" s="14"/>
      <c r="C9" s="14"/>
      <c r="D9" s="14"/>
      <c r="E9" s="14"/>
      <c r="F9" s="66" t="s">
        <v>5</v>
      </c>
      <c r="G9" s="14"/>
      <c r="H9" s="14"/>
      <c r="I9" s="14"/>
      <c r="J9" s="32"/>
    </row>
    <row r="10" spans="1:10" x14ac:dyDescent="0.2">
      <c r="A10" s="18" t="s">
        <v>6</v>
      </c>
      <c r="B10" s="18"/>
      <c r="C10" s="19" t="s">
        <v>7</v>
      </c>
      <c r="D10" s="14"/>
      <c r="E10" s="14"/>
      <c r="F10" s="18" t="s">
        <v>8</v>
      </c>
      <c r="G10" s="18"/>
      <c r="H10" s="20" t="s">
        <v>7</v>
      </c>
      <c r="I10" s="21"/>
      <c r="J10" s="32"/>
    </row>
    <row r="11" spans="1:10" x14ac:dyDescent="0.2">
      <c r="A11" s="86" t="s">
        <v>44</v>
      </c>
      <c r="B11" s="87"/>
      <c r="C11" s="55">
        <v>20</v>
      </c>
      <c r="D11" s="14"/>
      <c r="E11" s="14"/>
      <c r="F11" s="88">
        <v>45197</v>
      </c>
      <c r="G11" s="89"/>
      <c r="H11" s="84">
        <v>300</v>
      </c>
      <c r="I11" s="85"/>
      <c r="J11" s="32"/>
    </row>
    <row r="12" spans="1:10" x14ac:dyDescent="0.2">
      <c r="A12" s="86"/>
      <c r="B12" s="87"/>
      <c r="C12" s="56"/>
      <c r="D12" s="14"/>
      <c r="E12" s="14"/>
      <c r="F12" s="18" t="s">
        <v>2</v>
      </c>
      <c r="G12" s="18"/>
      <c r="H12" s="84" t="s">
        <v>2</v>
      </c>
      <c r="I12" s="85"/>
      <c r="J12" s="32"/>
    </row>
    <row r="13" spans="1:10" ht="13.5" thickBot="1" x14ac:dyDescent="0.25">
      <c r="A13" s="20" t="s">
        <v>2</v>
      </c>
      <c r="B13" s="21"/>
      <c r="C13" s="56"/>
      <c r="D13" s="14"/>
      <c r="E13" s="14"/>
      <c r="F13" s="23"/>
      <c r="G13" s="23"/>
      <c r="H13" s="24"/>
      <c r="I13" s="24" t="s">
        <v>19</v>
      </c>
      <c r="J13" s="67">
        <v>300</v>
      </c>
    </row>
    <row r="14" spans="1:10" x14ac:dyDescent="0.2">
      <c r="A14" s="20" t="s">
        <v>2</v>
      </c>
      <c r="B14" s="21"/>
      <c r="C14" s="56"/>
      <c r="D14" s="14"/>
      <c r="E14" s="14"/>
      <c r="F14" s="39" t="s">
        <v>2</v>
      </c>
      <c r="G14" s="39"/>
      <c r="H14" s="14"/>
      <c r="I14" s="14"/>
      <c r="J14" s="32"/>
    </row>
    <row r="15" spans="1:10" ht="13.5" thickBot="1" x14ac:dyDescent="0.25">
      <c r="A15" s="33"/>
      <c r="B15" s="14"/>
      <c r="C15" s="24" t="s">
        <v>18</v>
      </c>
      <c r="D15" s="57">
        <v>20</v>
      </c>
      <c r="E15" s="14"/>
      <c r="F15" s="14"/>
      <c r="G15" s="14"/>
      <c r="H15" s="14" t="s">
        <v>9</v>
      </c>
      <c r="I15" s="14"/>
      <c r="J15" s="68">
        <f>J7+H11</f>
        <v>3012</v>
      </c>
    </row>
    <row r="16" spans="1:10" x14ac:dyDescent="0.2">
      <c r="A16" s="33"/>
      <c r="C16" s="14"/>
      <c r="D16" s="14"/>
      <c r="E16" s="14"/>
      <c r="F16" s="66" t="s">
        <v>10</v>
      </c>
      <c r="G16" s="14"/>
      <c r="H16" s="14"/>
      <c r="I16" s="14"/>
      <c r="J16" s="32"/>
    </row>
    <row r="17" spans="1:10" x14ac:dyDescent="0.2">
      <c r="A17" s="33"/>
      <c r="B17" s="14"/>
      <c r="C17" s="14"/>
      <c r="D17" s="14"/>
      <c r="E17" s="14"/>
      <c r="F17" s="25" t="s">
        <v>11</v>
      </c>
      <c r="G17" s="78" t="s">
        <v>7</v>
      </c>
      <c r="H17" s="25" t="s">
        <v>11</v>
      </c>
      <c r="I17" s="78" t="s">
        <v>7</v>
      </c>
      <c r="J17" s="32"/>
    </row>
    <row r="18" spans="1:10" x14ac:dyDescent="0.2">
      <c r="A18" s="33"/>
      <c r="B18" s="14"/>
      <c r="C18" s="14"/>
      <c r="D18" s="14"/>
      <c r="E18" s="14"/>
      <c r="F18" s="26" t="s">
        <v>12</v>
      </c>
      <c r="G18" s="79"/>
      <c r="H18" s="26" t="s">
        <v>12</v>
      </c>
      <c r="I18" s="79"/>
      <c r="J18" s="32"/>
    </row>
    <row r="19" spans="1:10" x14ac:dyDescent="0.2">
      <c r="A19" s="33"/>
      <c r="B19" s="14"/>
      <c r="C19" s="14"/>
      <c r="D19" s="14"/>
      <c r="E19" s="14"/>
      <c r="F19" s="19">
        <v>306</v>
      </c>
      <c r="G19" s="59">
        <v>140</v>
      </c>
      <c r="H19" s="19"/>
      <c r="I19" s="59"/>
      <c r="J19" s="32"/>
    </row>
    <row r="20" spans="1:10" x14ac:dyDescent="0.2">
      <c r="A20" s="33"/>
      <c r="B20" s="14"/>
      <c r="C20" s="14"/>
      <c r="D20" s="14"/>
      <c r="E20" s="14"/>
      <c r="F20" s="19">
        <v>308</v>
      </c>
      <c r="G20" s="59">
        <v>70</v>
      </c>
      <c r="H20" s="19"/>
      <c r="I20" s="59"/>
      <c r="J20" s="32"/>
    </row>
    <row r="21" spans="1:10" x14ac:dyDescent="0.2">
      <c r="A21" s="33"/>
      <c r="B21" s="14"/>
      <c r="C21" s="14"/>
      <c r="D21" s="14"/>
      <c r="E21" s="14"/>
      <c r="F21" s="19"/>
      <c r="G21" s="19"/>
      <c r="H21" s="19"/>
      <c r="I21" s="59"/>
      <c r="J21" s="32"/>
    </row>
    <row r="22" spans="1:10" x14ac:dyDescent="0.2">
      <c r="A22" s="33"/>
      <c r="B22" s="14"/>
      <c r="C22" s="14"/>
      <c r="D22" s="14"/>
      <c r="E22" s="14"/>
      <c r="F22" s="19"/>
      <c r="G22" s="19"/>
      <c r="H22" s="19"/>
      <c r="I22" s="59"/>
      <c r="J22" s="32"/>
    </row>
    <row r="23" spans="1:10" x14ac:dyDescent="0.2">
      <c r="A23" s="33"/>
      <c r="B23" s="14"/>
      <c r="C23" s="14"/>
      <c r="D23" s="14"/>
      <c r="E23" s="14"/>
      <c r="F23" s="19"/>
      <c r="G23" s="19"/>
      <c r="H23" s="19"/>
      <c r="I23" s="59"/>
      <c r="J23" s="32"/>
    </row>
    <row r="24" spans="1:10" ht="13.5" thickBot="1" x14ac:dyDescent="0.25">
      <c r="A24" s="33"/>
      <c r="B24" s="14"/>
      <c r="C24" s="14"/>
      <c r="D24" s="14"/>
      <c r="E24" s="14"/>
      <c r="F24" s="14"/>
      <c r="G24" s="14"/>
      <c r="H24" s="14"/>
      <c r="I24" s="24" t="s">
        <v>20</v>
      </c>
      <c r="J24" s="69">
        <f>G19+G20</f>
        <v>210</v>
      </c>
    </row>
    <row r="25" spans="1:10" x14ac:dyDescent="0.2">
      <c r="A25" s="33"/>
      <c r="B25" s="14"/>
      <c r="C25" s="14"/>
      <c r="D25" s="14"/>
      <c r="E25" s="14"/>
      <c r="F25" s="14"/>
      <c r="G25" s="14"/>
      <c r="H25" s="14"/>
      <c r="I25" s="14"/>
      <c r="J25" s="32"/>
    </row>
    <row r="26" spans="1:10" ht="13.5" thickBot="1" x14ac:dyDescent="0.25">
      <c r="A26" s="33" t="s">
        <v>13</v>
      </c>
      <c r="B26" s="14"/>
      <c r="C26" s="14"/>
      <c r="D26" s="58">
        <f>D7-C11</f>
        <v>2802</v>
      </c>
      <c r="E26" s="14"/>
      <c r="F26" s="14" t="s">
        <v>14</v>
      </c>
      <c r="G26" s="14"/>
      <c r="H26" s="14"/>
      <c r="I26" s="14"/>
      <c r="J26" s="70">
        <f>J15-J24</f>
        <v>2802</v>
      </c>
    </row>
    <row r="27" spans="1:10" ht="7.5" customHeight="1" thickTop="1" x14ac:dyDescent="0.2">
      <c r="A27" s="34"/>
      <c r="B27" s="15"/>
      <c r="C27" s="15"/>
      <c r="D27" s="71"/>
      <c r="E27" s="15"/>
      <c r="F27" s="15"/>
      <c r="G27" s="15"/>
      <c r="H27" s="15"/>
      <c r="I27" s="15"/>
      <c r="J27" s="72"/>
    </row>
    <row r="28" spans="1:10" x14ac:dyDescent="0.2">
      <c r="A28" s="14"/>
      <c r="B28" s="14"/>
      <c r="C28" s="14"/>
      <c r="D28" s="14"/>
      <c r="E28" s="14"/>
      <c r="F28" s="14"/>
      <c r="G28" s="14"/>
      <c r="H28" s="14"/>
      <c r="I28" s="14"/>
      <c r="J28" s="14"/>
    </row>
    <row r="29" spans="1:10" x14ac:dyDescent="0.2">
      <c r="A29" s="27"/>
      <c r="B29" s="28"/>
      <c r="C29" s="28"/>
      <c r="D29" s="28"/>
      <c r="E29" s="29"/>
      <c r="F29" s="14"/>
      <c r="G29" s="14"/>
      <c r="H29" s="14"/>
      <c r="I29" s="14"/>
      <c r="J29" s="14"/>
    </row>
    <row r="30" spans="1:10" x14ac:dyDescent="0.2">
      <c r="A30" s="30" t="s">
        <v>29</v>
      </c>
      <c r="B30" s="1">
        <v>309</v>
      </c>
      <c r="C30" s="14"/>
      <c r="D30" s="31"/>
      <c r="E30" s="32"/>
      <c r="F30" s="14"/>
      <c r="G30" s="14"/>
      <c r="H30" s="14"/>
      <c r="I30" s="14"/>
      <c r="J30" s="14"/>
    </row>
    <row r="31" spans="1:10" x14ac:dyDescent="0.2">
      <c r="A31" s="33" t="s">
        <v>22</v>
      </c>
      <c r="B31" s="76">
        <v>45198</v>
      </c>
      <c r="C31" s="15"/>
      <c r="D31" s="15"/>
      <c r="E31" s="32"/>
      <c r="F31" s="14"/>
      <c r="G31" s="14"/>
      <c r="H31" s="14"/>
      <c r="I31" s="14"/>
      <c r="J31" s="14"/>
    </row>
    <row r="32" spans="1:10" x14ac:dyDescent="0.2">
      <c r="A32" s="33" t="s">
        <v>23</v>
      </c>
      <c r="B32" s="15"/>
      <c r="C32" s="15"/>
      <c r="D32" s="15"/>
      <c r="E32" s="32"/>
      <c r="F32" s="14"/>
      <c r="G32" s="14"/>
      <c r="H32" s="14"/>
      <c r="I32" s="14"/>
      <c r="J32" s="14"/>
    </row>
    <row r="33" spans="1:10" x14ac:dyDescent="0.2">
      <c r="A33" s="34"/>
      <c r="B33" s="15"/>
      <c r="C33" s="15"/>
      <c r="D33" s="15"/>
      <c r="E33" s="32"/>
      <c r="F33" s="14"/>
      <c r="G33" s="14"/>
      <c r="H33" s="14"/>
      <c r="I33" s="14"/>
      <c r="J33" s="14"/>
    </row>
    <row r="34" spans="1:10" ht="6" customHeight="1" x14ac:dyDescent="0.2">
      <c r="A34" s="33"/>
      <c r="B34" s="14"/>
      <c r="C34" s="14"/>
      <c r="D34" s="14"/>
      <c r="E34" s="32"/>
      <c r="F34" s="14"/>
      <c r="G34" s="14"/>
      <c r="H34" s="14"/>
      <c r="I34" s="14"/>
      <c r="J34" s="14"/>
    </row>
    <row r="35" spans="1:10" x14ac:dyDescent="0.2">
      <c r="A35" s="33" t="s">
        <v>24</v>
      </c>
      <c r="B35" s="15"/>
      <c r="C35" s="15"/>
      <c r="D35" s="15"/>
      <c r="E35" s="32"/>
      <c r="F35" s="14"/>
      <c r="G35" s="14"/>
      <c r="H35" s="14"/>
      <c r="I35" s="14"/>
      <c r="J35" s="14"/>
    </row>
    <row r="36" spans="1:10" x14ac:dyDescent="0.2">
      <c r="A36" s="34"/>
      <c r="B36" s="15"/>
      <c r="C36" s="15"/>
      <c r="D36" s="15"/>
      <c r="E36" s="32"/>
      <c r="F36" s="14"/>
      <c r="G36" s="14"/>
      <c r="H36" s="14"/>
      <c r="I36" s="14"/>
      <c r="J36" s="14"/>
    </row>
    <row r="37" spans="1:10" ht="6" customHeight="1" thickBot="1" x14ac:dyDescent="0.25">
      <c r="A37" s="35"/>
      <c r="B37" s="36"/>
      <c r="C37" s="36"/>
      <c r="D37" s="36"/>
      <c r="E37" s="32"/>
      <c r="F37" s="14"/>
      <c r="G37" s="14"/>
      <c r="H37" s="14"/>
      <c r="I37" s="14"/>
      <c r="J37" s="14"/>
    </row>
    <row r="38" spans="1:10" x14ac:dyDescent="0.2">
      <c r="A38" s="33" t="s">
        <v>28</v>
      </c>
      <c r="B38" s="37"/>
      <c r="C38" s="38"/>
      <c r="D38" s="60">
        <v>2822</v>
      </c>
      <c r="E38" s="32"/>
      <c r="F38" s="14"/>
      <c r="G38" s="14"/>
      <c r="H38" s="14"/>
      <c r="I38" s="14"/>
      <c r="J38" s="14"/>
    </row>
    <row r="39" spans="1:10" ht="5.25" customHeight="1" x14ac:dyDescent="0.2">
      <c r="A39" s="33"/>
      <c r="B39" s="14"/>
      <c r="C39" s="14"/>
      <c r="D39" s="14"/>
      <c r="E39" s="32"/>
      <c r="F39" s="14"/>
      <c r="G39" s="14"/>
      <c r="H39" s="14"/>
      <c r="I39" s="14"/>
      <c r="J39" s="14"/>
    </row>
    <row r="40" spans="1:10" x14ac:dyDescent="0.2">
      <c r="A40" s="33" t="s">
        <v>25</v>
      </c>
      <c r="B40" s="38"/>
      <c r="C40" s="22"/>
      <c r="D40" s="22"/>
      <c r="E40" s="32"/>
      <c r="F40" s="14"/>
      <c r="G40" s="14"/>
      <c r="H40" s="14"/>
      <c r="I40" s="14"/>
      <c r="J40" s="14"/>
    </row>
    <row r="41" spans="1:10" x14ac:dyDescent="0.2">
      <c r="A41" s="33"/>
      <c r="B41" s="14"/>
      <c r="C41" s="39" t="s">
        <v>8</v>
      </c>
      <c r="D41" s="14"/>
      <c r="E41" s="32"/>
      <c r="F41" s="14"/>
      <c r="G41" s="14"/>
      <c r="H41" s="14"/>
      <c r="I41" s="14"/>
      <c r="J41" s="14"/>
    </row>
    <row r="42" spans="1:10" x14ac:dyDescent="0.2">
      <c r="A42" s="33" t="s">
        <v>9</v>
      </c>
      <c r="B42" s="37"/>
      <c r="C42" s="38"/>
      <c r="D42" s="60">
        <v>2822</v>
      </c>
      <c r="E42" s="32"/>
      <c r="F42" s="14"/>
      <c r="G42" s="14"/>
      <c r="H42" s="14"/>
      <c r="I42" s="14"/>
      <c r="J42" s="14"/>
    </row>
    <row r="43" spans="1:10" x14ac:dyDescent="0.2">
      <c r="A43" s="30" t="s">
        <v>30</v>
      </c>
      <c r="B43" s="14"/>
      <c r="C43" s="14"/>
      <c r="D43" s="14"/>
      <c r="E43" s="32"/>
      <c r="F43" s="14"/>
      <c r="G43" s="14"/>
      <c r="H43" s="14"/>
      <c r="I43" s="14"/>
      <c r="J43" s="14"/>
    </row>
    <row r="44" spans="1:10" x14ac:dyDescent="0.2">
      <c r="A44" s="33"/>
      <c r="B44" s="15" t="s">
        <v>45</v>
      </c>
      <c r="C44" s="60">
        <v>20</v>
      </c>
      <c r="D44" s="14"/>
      <c r="E44" s="32"/>
      <c r="F44" s="14"/>
      <c r="G44" s="14"/>
      <c r="H44" s="14"/>
      <c r="I44" s="14"/>
      <c r="J44" s="14"/>
    </row>
    <row r="45" spans="1:10" x14ac:dyDescent="0.2">
      <c r="A45" s="33"/>
      <c r="B45" s="40"/>
      <c r="C45" s="40"/>
      <c r="D45" s="60">
        <f>SUM(C44:C45)</f>
        <v>20</v>
      </c>
      <c r="E45" s="32"/>
      <c r="F45" s="14"/>
      <c r="G45" s="14"/>
      <c r="H45" s="14"/>
      <c r="I45" s="14"/>
      <c r="J45" s="14"/>
    </row>
    <row r="46" spans="1:10" ht="6" customHeight="1" x14ac:dyDescent="0.2">
      <c r="A46" s="33"/>
      <c r="B46" s="14"/>
      <c r="C46" s="14"/>
      <c r="D46" s="14"/>
      <c r="E46" s="32"/>
      <c r="F46" s="14"/>
      <c r="G46" s="14"/>
      <c r="H46" s="14"/>
      <c r="I46" s="14"/>
      <c r="J46" s="14"/>
    </row>
    <row r="47" spans="1:10" x14ac:dyDescent="0.2">
      <c r="A47" s="33" t="s">
        <v>9</v>
      </c>
      <c r="B47" s="37"/>
      <c r="C47" s="38"/>
      <c r="D47" s="60">
        <f>D42-D45</f>
        <v>2802</v>
      </c>
      <c r="E47" s="32"/>
      <c r="F47" s="14"/>
      <c r="G47" s="14"/>
      <c r="H47" s="14"/>
      <c r="I47" s="14"/>
      <c r="J47" s="14"/>
    </row>
    <row r="48" spans="1:10" ht="4.5" customHeight="1" x14ac:dyDescent="0.2">
      <c r="A48" s="33"/>
      <c r="B48" s="14"/>
      <c r="C48" s="14"/>
      <c r="D48" s="14"/>
      <c r="E48" s="32"/>
      <c r="F48" s="14"/>
      <c r="G48" s="14"/>
      <c r="H48" s="14"/>
      <c r="I48" s="14"/>
      <c r="J48" s="14"/>
    </row>
    <row r="49" spans="1:10" x14ac:dyDescent="0.2">
      <c r="A49" s="33" t="s">
        <v>26</v>
      </c>
      <c r="B49" s="37"/>
      <c r="C49" s="38"/>
      <c r="D49" s="22"/>
      <c r="E49" s="32"/>
      <c r="F49" s="14"/>
      <c r="G49" s="14"/>
      <c r="H49" s="14"/>
      <c r="I49" s="14"/>
      <c r="J49" s="14"/>
    </row>
    <row r="50" spans="1:10" ht="3.75" customHeight="1" x14ac:dyDescent="0.2">
      <c r="A50" s="33"/>
      <c r="B50" s="14"/>
      <c r="C50" s="14"/>
      <c r="D50" s="14"/>
      <c r="E50" s="32"/>
      <c r="F50" s="14"/>
      <c r="G50" s="14"/>
      <c r="H50" s="14"/>
      <c r="I50" s="14"/>
      <c r="J50" s="14"/>
    </row>
    <row r="51" spans="1:10" x14ac:dyDescent="0.2">
      <c r="A51" s="33" t="s">
        <v>27</v>
      </c>
      <c r="B51" s="37"/>
      <c r="C51" s="38"/>
      <c r="D51" s="22"/>
      <c r="E51" s="32"/>
      <c r="F51" s="14"/>
      <c r="G51" s="14"/>
      <c r="H51" s="14"/>
      <c r="I51" s="14"/>
      <c r="J51" s="14"/>
    </row>
    <row r="52" spans="1:10" x14ac:dyDescent="0.2">
      <c r="A52" s="34"/>
      <c r="B52" s="15"/>
      <c r="C52" s="15"/>
      <c r="D52" s="15"/>
      <c r="E52" s="41"/>
      <c r="F52" s="14"/>
      <c r="G52" s="14"/>
      <c r="H52" s="14"/>
      <c r="I52" s="14"/>
      <c r="J52" s="14"/>
    </row>
    <row r="53" spans="1:10" x14ac:dyDescent="0.2">
      <c r="A53" s="14"/>
      <c r="B53" s="14"/>
      <c r="C53" s="14"/>
      <c r="D53" s="14"/>
      <c r="E53" s="14"/>
      <c r="F53" s="14"/>
      <c r="G53" s="14"/>
      <c r="H53" s="14"/>
      <c r="I53" s="14"/>
      <c r="J53" s="14"/>
    </row>
    <row r="54" spans="1:10" x14ac:dyDescent="0.2">
      <c r="A54" s="14"/>
      <c r="B54" s="14"/>
      <c r="C54" s="14"/>
      <c r="D54" s="14"/>
      <c r="E54" s="14"/>
      <c r="F54" s="14"/>
      <c r="G54" s="14"/>
      <c r="H54" s="14"/>
      <c r="I54" s="14"/>
      <c r="J54" s="14"/>
    </row>
    <row r="55" spans="1:10" ht="15" x14ac:dyDescent="0.2">
      <c r="A55" s="42"/>
      <c r="B55" s="42"/>
      <c r="C55" s="43" t="s">
        <v>31</v>
      </c>
      <c r="D55" s="42"/>
      <c r="E55" s="42"/>
      <c r="F55" s="44" t="s">
        <v>32</v>
      </c>
      <c r="G55" s="43" t="s">
        <v>41</v>
      </c>
      <c r="H55" s="14"/>
      <c r="I55" s="14"/>
      <c r="J55" s="14"/>
    </row>
    <row r="56" spans="1:10" ht="13.5" thickBot="1" x14ac:dyDescent="0.25">
      <c r="A56" s="45"/>
      <c r="B56" s="45"/>
      <c r="C56" s="45"/>
      <c r="D56" s="45"/>
      <c r="E56" s="45"/>
      <c r="F56" s="46"/>
      <c r="G56" s="46"/>
      <c r="H56" s="14"/>
      <c r="I56" s="14"/>
      <c r="J56" s="14"/>
    </row>
    <row r="57" spans="1:10" ht="13.5" thickTop="1" x14ac:dyDescent="0.2">
      <c r="A57" s="47"/>
      <c r="B57" s="93"/>
      <c r="C57" s="94"/>
      <c r="D57" s="48" t="s">
        <v>33</v>
      </c>
      <c r="E57" s="73" t="s">
        <v>34</v>
      </c>
      <c r="F57" s="49" t="s">
        <v>35</v>
      </c>
      <c r="G57" s="50"/>
      <c r="H57" s="14"/>
      <c r="I57" s="14"/>
      <c r="J57" s="14"/>
    </row>
    <row r="58" spans="1:10" ht="13.5" thickBot="1" x14ac:dyDescent="0.25">
      <c r="A58" s="51" t="s">
        <v>1</v>
      </c>
      <c r="B58" s="80" t="s">
        <v>36</v>
      </c>
      <c r="C58" s="81"/>
      <c r="D58" s="52" t="s">
        <v>21</v>
      </c>
      <c r="E58" s="74" t="s">
        <v>37</v>
      </c>
      <c r="F58" s="53" t="s">
        <v>38</v>
      </c>
      <c r="G58" s="54" t="s">
        <v>39</v>
      </c>
      <c r="H58" s="14"/>
      <c r="I58" s="14"/>
      <c r="J58" s="14"/>
    </row>
    <row r="59" spans="1:10" ht="15" thickTop="1" x14ac:dyDescent="0.2">
      <c r="A59" s="75">
        <v>45167</v>
      </c>
      <c r="B59" s="82" t="s">
        <v>46</v>
      </c>
      <c r="C59" s="83"/>
      <c r="D59" s="2" t="s">
        <v>47</v>
      </c>
      <c r="E59" s="2"/>
      <c r="F59" s="3">
        <v>20</v>
      </c>
      <c r="G59" s="8"/>
      <c r="H59" s="14"/>
      <c r="I59" s="14"/>
      <c r="J59" s="14"/>
    </row>
    <row r="60" spans="1:10" ht="14.25" x14ac:dyDescent="0.2">
      <c r="A60" s="11"/>
      <c r="B60" s="97" t="s">
        <v>48</v>
      </c>
      <c r="C60" s="98"/>
      <c r="D60" s="4"/>
      <c r="E60" s="4"/>
      <c r="F60" s="5"/>
      <c r="G60" s="9">
        <v>20</v>
      </c>
      <c r="H60" s="14"/>
      <c r="I60" s="14"/>
      <c r="J60" s="14"/>
    </row>
    <row r="61" spans="1:10" ht="15" thickBot="1" x14ac:dyDescent="0.25">
      <c r="A61" s="12"/>
      <c r="B61" s="91"/>
      <c r="C61" s="92"/>
      <c r="D61" s="6"/>
      <c r="E61" s="6"/>
      <c r="F61" s="7"/>
      <c r="G61" s="10"/>
      <c r="H61" s="14"/>
      <c r="I61" s="14"/>
      <c r="J61" s="14"/>
    </row>
    <row r="62" spans="1:10" x14ac:dyDescent="0.2">
      <c r="A62" s="14" t="s">
        <v>40</v>
      </c>
      <c r="B62" s="14"/>
      <c r="C62" s="14"/>
      <c r="D62" s="14"/>
      <c r="E62" s="14"/>
      <c r="F62" s="14" t="s">
        <v>16</v>
      </c>
      <c r="G62" s="13" t="str">
        <f>G1</f>
        <v>Dhruv Patil</v>
      </c>
      <c r="H62" s="15"/>
      <c r="I62" s="14"/>
      <c r="J62" s="14"/>
    </row>
    <row r="63" spans="1:10" x14ac:dyDescent="0.2">
      <c r="A63" s="14" t="s">
        <v>42</v>
      </c>
      <c r="B63" s="14"/>
      <c r="C63" s="14"/>
      <c r="D63" s="14"/>
      <c r="E63" s="14"/>
      <c r="F63" s="14"/>
      <c r="G63" s="14"/>
      <c r="H63" s="14"/>
      <c r="I63" s="14"/>
      <c r="J63" s="14"/>
    </row>
    <row r="64" spans="1:10" x14ac:dyDescent="0.2">
      <c r="A64" s="14"/>
      <c r="B64" s="14"/>
      <c r="C64" s="14"/>
      <c r="D64" s="14"/>
      <c r="E64" s="14"/>
      <c r="F64" s="14"/>
      <c r="G64" s="14"/>
      <c r="H64" s="14"/>
      <c r="I64" s="14"/>
      <c r="J64" s="14"/>
    </row>
    <row r="65" spans="1:10" x14ac:dyDescent="0.2">
      <c r="A65" s="61" t="s">
        <v>0</v>
      </c>
      <c r="B65" s="28"/>
      <c r="C65" s="28"/>
      <c r="D65" s="28"/>
      <c r="E65" s="28"/>
      <c r="F65" s="28"/>
      <c r="G65" s="28"/>
      <c r="H65" s="23" t="s">
        <v>1</v>
      </c>
      <c r="I65" s="62">
        <v>45107</v>
      </c>
      <c r="J65" s="21"/>
    </row>
    <row r="66" spans="1:10" x14ac:dyDescent="0.2">
      <c r="A66" s="33"/>
      <c r="B66" s="14"/>
      <c r="C66" s="14"/>
      <c r="D66" s="14"/>
      <c r="E66" s="14"/>
      <c r="F66" s="14"/>
      <c r="G66" s="14"/>
      <c r="H66" s="14"/>
      <c r="I66" s="14"/>
      <c r="J66" s="32"/>
    </row>
    <row r="67" spans="1:10" x14ac:dyDescent="0.2">
      <c r="A67" s="33"/>
      <c r="B67" s="14"/>
      <c r="C67" s="14"/>
      <c r="D67" s="14"/>
      <c r="E67" s="14"/>
      <c r="F67" s="14"/>
      <c r="G67" s="14"/>
      <c r="H67" s="14"/>
      <c r="I67" s="14"/>
      <c r="J67" s="32"/>
    </row>
    <row r="68" spans="1:10" ht="13.5" thickBot="1" x14ac:dyDescent="0.25">
      <c r="A68" s="63"/>
      <c r="B68" s="24" t="s">
        <v>3</v>
      </c>
      <c r="C68" s="16">
        <v>224</v>
      </c>
      <c r="D68" s="17">
        <v>4151</v>
      </c>
      <c r="E68" s="14"/>
      <c r="F68" s="14" t="s">
        <v>17</v>
      </c>
      <c r="G68" s="14"/>
      <c r="H68" s="14"/>
      <c r="I68" s="14"/>
      <c r="J68" s="64">
        <v>3912</v>
      </c>
    </row>
    <row r="69" spans="1:10" x14ac:dyDescent="0.2">
      <c r="A69" s="33"/>
      <c r="B69" s="14"/>
      <c r="C69" s="14"/>
      <c r="D69" s="14"/>
      <c r="E69" s="14"/>
      <c r="F69" s="14"/>
      <c r="G69" s="14"/>
      <c r="H69" s="14"/>
      <c r="I69" s="14"/>
      <c r="J69" s="32"/>
    </row>
    <row r="70" spans="1:10" x14ac:dyDescent="0.2">
      <c r="A70" s="65" t="s">
        <v>4</v>
      </c>
      <c r="B70" s="14"/>
      <c r="C70" s="14"/>
      <c r="D70" s="14"/>
      <c r="E70" s="14"/>
      <c r="F70" s="66" t="s">
        <v>5</v>
      </c>
      <c r="G70" s="14"/>
      <c r="H70" s="14"/>
      <c r="I70" s="14"/>
      <c r="J70" s="32"/>
    </row>
    <row r="71" spans="1:10" x14ac:dyDescent="0.2">
      <c r="A71" s="18" t="s">
        <v>6</v>
      </c>
      <c r="B71" s="18"/>
      <c r="C71" s="19" t="s">
        <v>7</v>
      </c>
      <c r="D71" s="14"/>
      <c r="E71" s="14"/>
      <c r="F71" s="18" t="s">
        <v>8</v>
      </c>
      <c r="G71" s="18"/>
      <c r="H71" s="20" t="s">
        <v>7</v>
      </c>
      <c r="I71" s="21"/>
      <c r="J71" s="32"/>
    </row>
    <row r="72" spans="1:10" x14ac:dyDescent="0.2">
      <c r="A72" s="86" t="s">
        <v>44</v>
      </c>
      <c r="B72" s="87"/>
      <c r="C72" s="55">
        <v>25</v>
      </c>
      <c r="D72" s="14"/>
      <c r="E72" s="14"/>
      <c r="F72" s="88">
        <v>45106</v>
      </c>
      <c r="G72" s="89"/>
      <c r="H72" s="84">
        <v>470</v>
      </c>
      <c r="I72" s="85"/>
      <c r="J72" s="32"/>
    </row>
    <row r="73" spans="1:10" x14ac:dyDescent="0.2">
      <c r="A73" s="86"/>
      <c r="B73" s="87"/>
      <c r="C73" s="56"/>
      <c r="D73" s="14"/>
      <c r="E73" s="14"/>
      <c r="F73" s="88">
        <v>45107</v>
      </c>
      <c r="G73" s="90"/>
      <c r="H73" s="84">
        <v>660</v>
      </c>
      <c r="I73" s="85"/>
      <c r="J73" s="32"/>
    </row>
    <row r="74" spans="1:10" ht="13.5" thickBot="1" x14ac:dyDescent="0.25">
      <c r="A74" s="20" t="s">
        <v>2</v>
      </c>
      <c r="B74" s="21"/>
      <c r="C74" s="56"/>
      <c r="D74" s="14"/>
      <c r="E74" s="14"/>
      <c r="F74" s="23"/>
      <c r="G74" s="23"/>
      <c r="H74" s="24"/>
      <c r="I74" s="24" t="s">
        <v>19</v>
      </c>
      <c r="J74" s="67">
        <f>SUM(H72:I73)</f>
        <v>1130</v>
      </c>
    </row>
    <row r="75" spans="1:10" x14ac:dyDescent="0.2">
      <c r="A75" s="20" t="s">
        <v>2</v>
      </c>
      <c r="B75" s="21"/>
      <c r="C75" s="56"/>
      <c r="D75" s="14"/>
      <c r="E75" s="14"/>
      <c r="F75" s="39" t="s">
        <v>2</v>
      </c>
      <c r="G75" s="39"/>
      <c r="H75" s="14"/>
      <c r="I75" s="14"/>
      <c r="J75" s="32"/>
    </row>
    <row r="76" spans="1:10" ht="13.5" thickBot="1" x14ac:dyDescent="0.25">
      <c r="A76" s="33"/>
      <c r="B76" s="14"/>
      <c r="C76" s="24" t="s">
        <v>18</v>
      </c>
      <c r="D76" s="57">
        <f>SUM(C72:C75)</f>
        <v>25</v>
      </c>
      <c r="E76" s="14"/>
      <c r="F76" s="14"/>
      <c r="G76" s="14"/>
      <c r="H76" s="14" t="s">
        <v>9</v>
      </c>
      <c r="I76" s="14"/>
      <c r="J76" s="68">
        <f>J68+J74</f>
        <v>5042</v>
      </c>
    </row>
    <row r="77" spans="1:10" x14ac:dyDescent="0.2">
      <c r="A77" s="33"/>
      <c r="B77" s="14"/>
      <c r="C77" s="14"/>
      <c r="D77" s="14"/>
      <c r="E77" s="14"/>
      <c r="F77" s="66" t="s">
        <v>10</v>
      </c>
      <c r="G77" s="14"/>
      <c r="H77" s="14"/>
      <c r="I77" s="14"/>
      <c r="J77" s="32"/>
    </row>
    <row r="78" spans="1:10" x14ac:dyDescent="0.2">
      <c r="A78" s="33"/>
      <c r="B78" s="14"/>
      <c r="C78" s="14"/>
      <c r="D78" s="14"/>
      <c r="E78" s="14"/>
      <c r="F78" s="25" t="s">
        <v>11</v>
      </c>
      <c r="G78" s="78" t="s">
        <v>7</v>
      </c>
      <c r="H78" s="25" t="s">
        <v>11</v>
      </c>
      <c r="I78" s="78" t="s">
        <v>7</v>
      </c>
      <c r="J78" s="32"/>
    </row>
    <row r="79" spans="1:10" x14ac:dyDescent="0.2">
      <c r="A79" s="33"/>
      <c r="B79" s="14"/>
      <c r="C79" s="14"/>
      <c r="D79" s="14"/>
      <c r="E79" s="14"/>
      <c r="F79" s="26" t="s">
        <v>12</v>
      </c>
      <c r="G79" s="79"/>
      <c r="H79" s="26" t="s">
        <v>12</v>
      </c>
      <c r="I79" s="79"/>
      <c r="J79" s="32"/>
    </row>
    <row r="80" spans="1:10" x14ac:dyDescent="0.2">
      <c r="A80" s="33"/>
      <c r="B80" s="14"/>
      <c r="C80" s="14"/>
      <c r="D80" s="14"/>
      <c r="E80" s="14"/>
      <c r="F80" s="19">
        <v>220</v>
      </c>
      <c r="G80" s="59">
        <v>140</v>
      </c>
      <c r="H80" s="19"/>
      <c r="I80" s="59"/>
      <c r="J80" s="32"/>
    </row>
    <row r="81" spans="1:10" x14ac:dyDescent="0.2">
      <c r="A81" s="33"/>
      <c r="B81" s="14"/>
      <c r="C81" s="14"/>
      <c r="D81" s="14"/>
      <c r="E81" s="14"/>
      <c r="F81" s="19">
        <v>222</v>
      </c>
      <c r="G81" s="59">
        <v>616</v>
      </c>
      <c r="H81" s="19"/>
      <c r="I81" s="59"/>
      <c r="J81" s="32"/>
    </row>
    <row r="82" spans="1:10" x14ac:dyDescent="0.2">
      <c r="A82" s="33"/>
      <c r="B82" s="14"/>
      <c r="C82" s="14"/>
      <c r="D82" s="14"/>
      <c r="E82" s="14"/>
      <c r="F82" s="19">
        <v>223</v>
      </c>
      <c r="G82" s="59">
        <v>160</v>
      </c>
      <c r="H82" s="19"/>
      <c r="I82" s="59"/>
      <c r="J82" s="32"/>
    </row>
    <row r="83" spans="1:10" x14ac:dyDescent="0.2">
      <c r="A83" s="33"/>
      <c r="B83" s="14"/>
      <c r="C83" s="14"/>
      <c r="D83" s="14"/>
      <c r="E83" s="14"/>
      <c r="F83" s="19"/>
      <c r="G83" s="59"/>
      <c r="H83" s="19"/>
      <c r="I83" s="59"/>
      <c r="J83" s="32"/>
    </row>
    <row r="84" spans="1:10" x14ac:dyDescent="0.2">
      <c r="A84" s="33"/>
      <c r="B84" s="14"/>
      <c r="C84" s="14"/>
      <c r="D84" s="14"/>
      <c r="E84" s="14"/>
      <c r="F84" s="19"/>
      <c r="G84" s="59"/>
      <c r="H84" s="19"/>
      <c r="I84" s="59"/>
      <c r="J84" s="32"/>
    </row>
    <row r="85" spans="1:10" ht="13.5" thickBot="1" x14ac:dyDescent="0.25">
      <c r="A85" s="33"/>
      <c r="B85" s="14"/>
      <c r="C85" s="14"/>
      <c r="D85" s="14"/>
      <c r="E85" s="14"/>
      <c r="F85" s="14"/>
      <c r="G85" s="14"/>
      <c r="H85" s="14"/>
      <c r="I85" s="24" t="s">
        <v>20</v>
      </c>
      <c r="J85" s="69">
        <f>SUM(G80:G84)+SUM(I80:I84)</f>
        <v>916</v>
      </c>
    </row>
    <row r="86" spans="1:10" x14ac:dyDescent="0.2">
      <c r="A86" s="33"/>
      <c r="B86" s="14"/>
      <c r="C86" s="14"/>
      <c r="D86" s="14"/>
      <c r="E86" s="14"/>
      <c r="F86" s="14"/>
      <c r="G86" s="14"/>
      <c r="H86" s="14"/>
      <c r="I86" s="14"/>
      <c r="J86" s="32"/>
    </row>
    <row r="87" spans="1:10" ht="13.5" thickBot="1" x14ac:dyDescent="0.25">
      <c r="A87" s="33" t="s">
        <v>13</v>
      </c>
      <c r="B87" s="14"/>
      <c r="C87" s="14"/>
      <c r="D87" s="58">
        <f>D68-D76</f>
        <v>4126</v>
      </c>
      <c r="E87" s="14"/>
      <c r="F87" s="14" t="s">
        <v>14</v>
      </c>
      <c r="G87" s="14"/>
      <c r="H87" s="14"/>
      <c r="I87" s="14"/>
      <c r="J87" s="70">
        <f>J76-J85</f>
        <v>4126</v>
      </c>
    </row>
    <row r="88" spans="1:10" ht="13.5" thickTop="1" x14ac:dyDescent="0.2">
      <c r="A88" s="34"/>
      <c r="B88" s="15"/>
      <c r="C88" s="15"/>
      <c r="D88" s="71"/>
      <c r="E88" s="15"/>
      <c r="F88" s="15"/>
      <c r="G88" s="15"/>
      <c r="H88" s="15"/>
      <c r="I88" s="15"/>
      <c r="J88" s="72"/>
    </row>
    <row r="89" spans="1:10" ht="6.75" customHeight="1" x14ac:dyDescent="0.2">
      <c r="A89" s="14"/>
      <c r="B89" s="14"/>
      <c r="C89" s="14"/>
      <c r="D89" s="14"/>
      <c r="E89" s="14"/>
      <c r="F89" s="14"/>
      <c r="G89" s="14"/>
      <c r="H89" s="14"/>
      <c r="I89" s="14"/>
      <c r="J89" s="14"/>
    </row>
    <row r="90" spans="1:10" ht="8.25" customHeight="1" x14ac:dyDescent="0.2">
      <c r="A90" s="27"/>
      <c r="B90" s="28"/>
      <c r="C90" s="28"/>
      <c r="D90" s="28"/>
      <c r="E90" s="29"/>
      <c r="F90" s="14"/>
      <c r="G90" s="14"/>
      <c r="H90" s="14"/>
      <c r="I90" s="14"/>
      <c r="J90" s="14"/>
    </row>
    <row r="91" spans="1:10" x14ac:dyDescent="0.2">
      <c r="A91" s="30" t="s">
        <v>29</v>
      </c>
      <c r="B91" s="1">
        <v>224</v>
      </c>
      <c r="C91" s="14"/>
      <c r="D91" s="31"/>
      <c r="E91" s="32"/>
      <c r="F91" s="14"/>
      <c r="G91" s="14"/>
      <c r="H91" s="14"/>
      <c r="I91" s="14"/>
      <c r="J91" s="14"/>
    </row>
    <row r="92" spans="1:10" x14ac:dyDescent="0.2">
      <c r="A92" s="33" t="s">
        <v>22</v>
      </c>
      <c r="B92" s="76">
        <v>45107</v>
      </c>
      <c r="C92" s="15"/>
      <c r="D92" s="15"/>
      <c r="E92" s="32"/>
      <c r="F92" s="14"/>
      <c r="G92" s="14"/>
      <c r="H92" s="14"/>
      <c r="I92" s="14"/>
      <c r="J92" s="14"/>
    </row>
    <row r="93" spans="1:10" x14ac:dyDescent="0.2">
      <c r="A93" s="33" t="s">
        <v>23</v>
      </c>
      <c r="B93" s="15"/>
      <c r="C93" s="15"/>
      <c r="D93" s="15"/>
      <c r="E93" s="32"/>
      <c r="F93" s="14"/>
      <c r="G93" s="14"/>
      <c r="H93" s="14"/>
      <c r="I93" s="14"/>
      <c r="J93" s="14"/>
    </row>
    <row r="94" spans="1:10" x14ac:dyDescent="0.2">
      <c r="A94" s="34"/>
      <c r="B94" s="15"/>
      <c r="C94" s="15"/>
      <c r="D94" s="15"/>
      <c r="E94" s="32"/>
      <c r="F94" s="14"/>
      <c r="G94" s="14"/>
      <c r="H94" s="14"/>
      <c r="I94" s="14"/>
      <c r="J94" s="14"/>
    </row>
    <row r="95" spans="1:10" x14ac:dyDescent="0.2">
      <c r="A95" s="33"/>
      <c r="B95" s="14"/>
      <c r="C95" s="14"/>
      <c r="D95" s="14"/>
      <c r="E95" s="32"/>
      <c r="F95" s="14"/>
      <c r="G95" s="14"/>
      <c r="H95" s="14"/>
      <c r="I95" s="14"/>
      <c r="J95" s="14"/>
    </row>
    <row r="96" spans="1:10" x14ac:dyDescent="0.2">
      <c r="A96" s="33" t="s">
        <v>24</v>
      </c>
      <c r="B96" s="15"/>
      <c r="C96" s="15"/>
      <c r="D96" s="15"/>
      <c r="E96" s="32"/>
      <c r="F96" s="14"/>
      <c r="G96" s="14"/>
      <c r="H96" s="14"/>
      <c r="I96" s="14"/>
      <c r="J96" s="14"/>
    </row>
    <row r="97" spans="1:10" x14ac:dyDescent="0.2">
      <c r="A97" s="34"/>
      <c r="B97" s="15"/>
      <c r="C97" s="15"/>
      <c r="D97" s="15"/>
      <c r="E97" s="32"/>
      <c r="F97" s="14"/>
      <c r="G97" s="14"/>
      <c r="H97" s="14"/>
      <c r="I97" s="14"/>
      <c r="J97" s="14"/>
    </row>
    <row r="98" spans="1:10" ht="5.25" customHeight="1" thickBot="1" x14ac:dyDescent="0.25">
      <c r="A98" s="35"/>
      <c r="B98" s="36"/>
      <c r="C98" s="36"/>
      <c r="D98" s="36"/>
      <c r="E98" s="32"/>
      <c r="F98" s="14"/>
      <c r="G98" s="14"/>
      <c r="H98" s="14"/>
      <c r="I98" s="14"/>
      <c r="J98" s="14"/>
    </row>
    <row r="99" spans="1:10" x14ac:dyDescent="0.2">
      <c r="A99" s="33" t="s">
        <v>28</v>
      </c>
      <c r="B99" s="37"/>
      <c r="C99" s="38"/>
      <c r="D99" s="60">
        <v>4126</v>
      </c>
      <c r="E99" s="32"/>
      <c r="F99" s="14"/>
      <c r="G99" s="14"/>
      <c r="H99" s="14"/>
      <c r="I99" s="14"/>
      <c r="J99" s="14"/>
    </row>
    <row r="100" spans="1:10" ht="6.75" customHeight="1" x14ac:dyDescent="0.2">
      <c r="A100" s="33"/>
      <c r="B100" s="14"/>
      <c r="C100" s="14"/>
      <c r="D100" s="14"/>
      <c r="E100" s="32"/>
      <c r="F100" s="14"/>
      <c r="G100" s="14"/>
      <c r="H100" s="14"/>
      <c r="I100" s="14"/>
      <c r="J100" s="14"/>
    </row>
    <row r="101" spans="1:10" x14ac:dyDescent="0.2">
      <c r="A101" s="33" t="s">
        <v>25</v>
      </c>
      <c r="B101" s="38"/>
      <c r="C101" s="22"/>
      <c r="D101" s="22"/>
      <c r="E101" s="32"/>
      <c r="F101" s="14"/>
      <c r="G101" s="14"/>
      <c r="H101" s="14"/>
      <c r="I101" s="14"/>
      <c r="J101" s="14"/>
    </row>
    <row r="102" spans="1:10" x14ac:dyDescent="0.2">
      <c r="A102" s="33"/>
      <c r="B102" s="14"/>
      <c r="C102" s="39" t="s">
        <v>8</v>
      </c>
      <c r="D102" s="14"/>
      <c r="E102" s="32"/>
      <c r="F102" s="14"/>
      <c r="G102" s="14"/>
      <c r="H102" s="14"/>
      <c r="I102" s="14"/>
      <c r="J102" s="14"/>
    </row>
    <row r="103" spans="1:10" x14ac:dyDescent="0.2">
      <c r="A103" s="33" t="s">
        <v>9</v>
      </c>
      <c r="B103" s="37"/>
      <c r="C103" s="38"/>
      <c r="D103" s="60">
        <v>4126</v>
      </c>
      <c r="E103" s="32"/>
      <c r="F103" s="14"/>
      <c r="G103" s="14"/>
      <c r="H103" s="14"/>
      <c r="I103" s="14"/>
      <c r="J103" s="14"/>
    </row>
    <row r="104" spans="1:10" x14ac:dyDescent="0.2">
      <c r="A104" s="30" t="s">
        <v>30</v>
      </c>
      <c r="B104" s="14"/>
      <c r="C104" s="14"/>
      <c r="D104" s="14"/>
      <c r="E104" s="32"/>
      <c r="F104" s="14"/>
      <c r="G104" s="14"/>
      <c r="H104" s="14"/>
      <c r="I104" s="14"/>
      <c r="J104" s="14"/>
    </row>
    <row r="105" spans="1:10" x14ac:dyDescent="0.2">
      <c r="A105" s="33"/>
      <c r="B105" s="15" t="s">
        <v>51</v>
      </c>
      <c r="C105" s="60">
        <v>25</v>
      </c>
      <c r="D105" s="14"/>
      <c r="E105" s="32"/>
      <c r="F105" s="14"/>
      <c r="G105" s="14"/>
      <c r="H105" s="14"/>
      <c r="I105" s="14"/>
      <c r="J105" s="14"/>
    </row>
    <row r="106" spans="1:10" x14ac:dyDescent="0.2">
      <c r="A106" s="33"/>
      <c r="B106" s="40"/>
      <c r="C106" s="40"/>
      <c r="D106" s="60">
        <f>SUM(C105:C106)</f>
        <v>25</v>
      </c>
      <c r="E106" s="32"/>
      <c r="F106" s="14"/>
      <c r="G106" s="14"/>
      <c r="H106" s="14"/>
      <c r="I106" s="14"/>
      <c r="J106" s="14"/>
    </row>
    <row r="107" spans="1:10" ht="9" customHeight="1" x14ac:dyDescent="0.2">
      <c r="A107" s="33"/>
      <c r="B107" s="14"/>
      <c r="C107" s="14"/>
      <c r="D107" s="14"/>
      <c r="E107" s="32"/>
      <c r="F107" s="14"/>
      <c r="G107" s="14"/>
      <c r="H107" s="14"/>
      <c r="I107" s="14"/>
      <c r="J107" s="14"/>
    </row>
    <row r="108" spans="1:10" x14ac:dyDescent="0.2">
      <c r="A108" s="33" t="s">
        <v>9</v>
      </c>
      <c r="B108" s="37"/>
      <c r="C108" s="38"/>
      <c r="D108" s="60">
        <f>D103-D106</f>
        <v>4101</v>
      </c>
      <c r="E108" s="32"/>
      <c r="F108" s="14"/>
      <c r="G108" s="14"/>
      <c r="H108" s="14"/>
      <c r="I108" s="14"/>
      <c r="J108" s="14"/>
    </row>
    <row r="109" spans="1:10" ht="5.25" customHeight="1" x14ac:dyDescent="0.2">
      <c r="A109" s="33"/>
      <c r="B109" s="14"/>
      <c r="C109" s="14"/>
      <c r="D109" s="14"/>
      <c r="E109" s="32"/>
      <c r="F109" s="14"/>
      <c r="G109" s="14"/>
      <c r="H109" s="14"/>
      <c r="I109" s="14"/>
      <c r="J109" s="14"/>
    </row>
    <row r="110" spans="1:10" x14ac:dyDescent="0.2">
      <c r="A110" s="33" t="s">
        <v>26</v>
      </c>
      <c r="B110" s="37"/>
      <c r="C110" s="38"/>
      <c r="D110" s="22"/>
      <c r="E110" s="32"/>
      <c r="F110" s="14"/>
      <c r="G110" s="14"/>
      <c r="H110" s="14"/>
      <c r="I110" s="14"/>
      <c r="J110" s="14"/>
    </row>
    <row r="111" spans="1:10" ht="6" customHeight="1" x14ac:dyDescent="0.2">
      <c r="A111" s="33"/>
      <c r="B111" s="14"/>
      <c r="C111" s="14"/>
      <c r="D111" s="14"/>
      <c r="E111" s="32"/>
      <c r="F111" s="14"/>
      <c r="G111" s="14"/>
      <c r="H111" s="14"/>
      <c r="I111" s="14"/>
      <c r="J111" s="14"/>
    </row>
    <row r="112" spans="1:10" x14ac:dyDescent="0.2">
      <c r="A112" s="33" t="s">
        <v>27</v>
      </c>
      <c r="B112" s="37"/>
      <c r="C112" s="38"/>
      <c r="D112" s="22"/>
      <c r="E112" s="32"/>
      <c r="F112" s="14"/>
      <c r="G112" s="14"/>
      <c r="H112" s="14"/>
      <c r="I112" s="14"/>
      <c r="J112" s="14"/>
    </row>
    <row r="113" spans="1:10" ht="8.25" customHeight="1" x14ac:dyDescent="0.2">
      <c r="A113" s="34"/>
      <c r="B113" s="15"/>
      <c r="C113" s="15"/>
      <c r="D113" s="15"/>
      <c r="E113" s="41"/>
      <c r="F113" s="14"/>
      <c r="G113" s="14"/>
      <c r="H113" s="14"/>
      <c r="I113" s="14"/>
      <c r="J113" s="14"/>
    </row>
    <row r="114" spans="1:10" ht="7.5" customHeight="1" x14ac:dyDescent="0.2">
      <c r="A114" s="14"/>
      <c r="B114" s="14"/>
      <c r="C114" s="14"/>
      <c r="D114" s="14"/>
      <c r="E114" s="14"/>
      <c r="F114" s="14"/>
      <c r="G114" s="14"/>
      <c r="H114" s="14"/>
      <c r="I114" s="14"/>
      <c r="J114" s="14"/>
    </row>
    <row r="115" spans="1:10" x14ac:dyDescent="0.2">
      <c r="A115" s="14"/>
      <c r="B115" s="14"/>
      <c r="C115" s="14"/>
      <c r="D115" s="14"/>
      <c r="E115" s="14"/>
      <c r="F115" s="14"/>
      <c r="G115" s="14"/>
      <c r="H115" s="14"/>
      <c r="I115" s="14"/>
      <c r="J115" s="14"/>
    </row>
    <row r="116" spans="1:10" ht="15" x14ac:dyDescent="0.2">
      <c r="A116" s="42"/>
      <c r="B116" s="42"/>
      <c r="C116" s="43" t="s">
        <v>31</v>
      </c>
      <c r="D116" s="42"/>
      <c r="E116" s="42"/>
      <c r="F116" s="44" t="s">
        <v>32</v>
      </c>
      <c r="G116" s="43" t="s">
        <v>41</v>
      </c>
      <c r="H116" s="14"/>
      <c r="I116" s="14"/>
      <c r="J116" s="14"/>
    </row>
    <row r="117" spans="1:10" ht="13.5" thickBot="1" x14ac:dyDescent="0.25">
      <c r="A117" s="45"/>
      <c r="B117" s="45"/>
      <c r="C117" s="45"/>
      <c r="D117" s="45"/>
      <c r="E117" s="45"/>
      <c r="F117" s="46"/>
      <c r="G117" s="46"/>
      <c r="H117" s="14"/>
      <c r="I117" s="14"/>
      <c r="J117" s="14"/>
    </row>
    <row r="118" spans="1:10" ht="13.5" thickTop="1" x14ac:dyDescent="0.2">
      <c r="A118" s="47"/>
      <c r="B118" s="93"/>
      <c r="C118" s="94"/>
      <c r="D118" s="48" t="s">
        <v>33</v>
      </c>
      <c r="E118" s="73" t="s">
        <v>34</v>
      </c>
      <c r="F118" s="49" t="s">
        <v>35</v>
      </c>
      <c r="G118" s="50"/>
      <c r="H118" s="14"/>
      <c r="I118" s="14"/>
      <c r="J118" s="14"/>
    </row>
    <row r="119" spans="1:10" ht="13.5" thickBot="1" x14ac:dyDescent="0.25">
      <c r="A119" s="51" t="s">
        <v>1</v>
      </c>
      <c r="B119" s="80" t="s">
        <v>36</v>
      </c>
      <c r="C119" s="81"/>
      <c r="D119" s="52" t="s">
        <v>21</v>
      </c>
      <c r="E119" s="74" t="s">
        <v>37</v>
      </c>
      <c r="F119" s="53" t="s">
        <v>38</v>
      </c>
      <c r="G119" s="54" t="s">
        <v>39</v>
      </c>
      <c r="H119" s="14"/>
      <c r="I119" s="14"/>
      <c r="J119" s="14"/>
    </row>
    <row r="120" spans="1:10" ht="15" thickTop="1" x14ac:dyDescent="0.2">
      <c r="A120" s="75">
        <v>45107</v>
      </c>
      <c r="B120" s="82" t="s">
        <v>50</v>
      </c>
      <c r="C120" s="83"/>
      <c r="D120" s="2" t="s">
        <v>49</v>
      </c>
      <c r="E120" s="2"/>
      <c r="F120" s="3">
        <v>25</v>
      </c>
      <c r="G120" s="8"/>
      <c r="H120" s="14"/>
      <c r="I120" s="14"/>
      <c r="J120" s="14"/>
    </row>
    <row r="121" spans="1:10" ht="14.25" x14ac:dyDescent="0.2">
      <c r="A121" s="11"/>
      <c r="B121" s="95" t="s">
        <v>48</v>
      </c>
      <c r="C121" s="96"/>
      <c r="D121" s="4"/>
      <c r="E121" s="4"/>
      <c r="F121" s="5"/>
      <c r="G121" s="9">
        <v>25</v>
      </c>
      <c r="H121" s="14"/>
      <c r="I121" s="14"/>
      <c r="J121" s="14"/>
    </row>
    <row r="122" spans="1:10" ht="15" thickBot="1" x14ac:dyDescent="0.25">
      <c r="A122" s="12"/>
      <c r="B122" s="91"/>
      <c r="C122" s="92"/>
      <c r="D122" s="6"/>
      <c r="E122" s="6"/>
      <c r="F122" s="7"/>
      <c r="G122" s="10"/>
      <c r="H122" s="14"/>
      <c r="I122" s="14"/>
      <c r="J122" s="14"/>
    </row>
  </sheetData>
  <mergeCells count="25">
    <mergeCell ref="B57:C57"/>
    <mergeCell ref="H11:I11"/>
    <mergeCell ref="H12:I12"/>
    <mergeCell ref="A11:B11"/>
    <mergeCell ref="F11:G11"/>
    <mergeCell ref="A12:B12"/>
    <mergeCell ref="G17:G18"/>
    <mergeCell ref="I17:I18"/>
    <mergeCell ref="B58:C58"/>
    <mergeCell ref="B59:C59"/>
    <mergeCell ref="B122:C122"/>
    <mergeCell ref="B118:C118"/>
    <mergeCell ref="B121:C121"/>
    <mergeCell ref="B60:C60"/>
    <mergeCell ref="B61:C61"/>
    <mergeCell ref="G78:G79"/>
    <mergeCell ref="I78:I79"/>
    <mergeCell ref="B119:C119"/>
    <mergeCell ref="B120:C120"/>
    <mergeCell ref="H72:I72"/>
    <mergeCell ref="H73:I73"/>
    <mergeCell ref="A72:B72"/>
    <mergeCell ref="F72:G72"/>
    <mergeCell ref="A73:B73"/>
    <mergeCell ref="F73:G73"/>
  </mergeCells>
  <phoneticPr fontId="2" type="noConversion"/>
  <printOptions horizontalCentered="1"/>
  <pageMargins left="0.12" right="0.21" top="0.5" bottom="0.5" header="0.5" footer="0.5"/>
  <pageSetup scale="97" orientation="portrait" horizontalDpi="300" verticalDpi="300" r:id="rId1"/>
  <headerFooter alignWithMargins="0"/>
  <rowBreaks count="1" manualBreakCount="1">
    <brk id="61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4150A7B-DB46-40B6-B25E-877E3610B08F}">
  <ds:schemaRefs>
    <ds:schemaRef ds:uri="http://schemas.microsoft.com/office/2006/documentManagement/types"/>
    <ds:schemaRef ds:uri="http://purl.org/dc/terms/"/>
    <ds:schemaRef ds:uri="http://schemas.microsoft.com/office/2006/metadata/properties"/>
    <ds:schemaRef ds:uri="http://purl.org/dc/dcmitype/"/>
    <ds:schemaRef ds:uri="http://purl.org/dc/elements/1.1/"/>
    <ds:schemaRef ds:uri="d758baea-510e-4597-bb40-a09e4fc0f415"/>
    <ds:schemaRef ds:uri="http://schemas.microsoft.com/office/infopath/2007/PartnerControls"/>
    <ds:schemaRef ds:uri="http://schemas.openxmlformats.org/package/2006/metadata/core-properties"/>
    <ds:schemaRef ds:uri="d5bf7610-0a90-45dc-b926-1b234e6c6756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249765A-0E3D-4530-A1EC-F4837CB31ED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991463E-6354-4205-8610-D40076B0B43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5-2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Kim Steffanina</dc:creator>
  <cp:lastModifiedBy>PATIL, DHRUV</cp:lastModifiedBy>
  <cp:lastPrinted>2013-10-25T10:59:19Z</cp:lastPrinted>
  <dcterms:created xsi:type="dcterms:W3CDTF">2007-10-29T21:28:16Z</dcterms:created>
  <dcterms:modified xsi:type="dcterms:W3CDTF">2023-11-08T17:17:17Z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8700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