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5/"/>
    </mc:Choice>
  </mc:AlternateContent>
  <xr:revisionPtr revIDLastSave="0" documentId="8_{E1DD62AE-4CDE-470B-A6CE-038B4D8861B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P5-4 General Journal" sheetId="6" r:id="rId1"/>
  </sheets>
  <externalReferences>
    <externalReference r:id="rId2"/>
    <externalReference r:id="rId3"/>
  </externalReferences>
  <definedNames>
    <definedName name="answer2">'[1]General Ledger'!$B$9:$I$14,'[1]General Ledger'!$B$31:$I$34,'[1]General Ledger'!$B$41:$I$43,'[1]General Ledger'!$B$50:$I$51,'[1]General Ledger'!$B$60:$I$61,'[1]General Ledger'!$B$68:$I$69,'[1]General Ledger'!$B$75:$I$76</definedName>
    <definedName name="answer3">'[2]2-2 Accounts Receivable Ledger'!$B$7:$H$10,'[2]2-2 Accounts Receivable Ledger'!$B$17:$H$20,'[2]2-2 Accounts Receivable Ledger'!$B$27:$H$30</definedName>
    <definedName name="total2" localSheetId="0">'[1]General Ledger'!$D$24:$I$24,'[1]General Ledger'!#REF!,'[1]General Ledger'!#REF!,'[1]General Ledger'!#REF!,'[1]General Ledger'!$D$62:$I$62,'[1]General Ledger'!#REF!,'[1]General Ledger'!#REF!</definedName>
    <definedName name="total2">'[1]General Ledger'!$D$24:$I$24,'[1]General Ledger'!#REF!,'[1]General Ledger'!#REF!,'[1]General Ledger'!#REF!,'[1]General Ledger'!$D$62:$I$62,'[1]General Ledger'!#REF!,'[1]General Ledger'!#REF!</definedName>
    <definedName name="total3">'[2]2-2 Accounts Receivable Ledger'!$D$11:$H$11,'[2]2-2 Accounts Receivable Ledger'!$D$21:$H$21,'[2]2-2 Accounts Receivable Ledger'!$D$31:$H$31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8" i="6" l="1"/>
  <c r="H15" i="6" l="1"/>
  <c r="H14" i="6"/>
  <c r="I26" i="6"/>
  <c r="I27" i="6" s="1"/>
  <c r="I28" i="6" s="1"/>
  <c r="I29" i="6" s="1"/>
  <c r="I30" i="6" s="1"/>
  <c r="I31" i="6" s="1"/>
  <c r="I32" i="6" s="1"/>
  <c r="I33" i="6" s="1"/>
  <c r="A26" i="6"/>
  <c r="A27" i="6" s="1"/>
  <c r="A28" i="6" s="1"/>
  <c r="A29" i="6" s="1"/>
  <c r="A30" i="6" s="1"/>
  <c r="A31" i="6" s="1"/>
  <c r="A32" i="6" s="1"/>
  <c r="A33" i="6" s="1"/>
</calcChain>
</file>

<file path=xl/sharedStrings.xml><?xml version="1.0" encoding="utf-8"?>
<sst xmlns="http://schemas.openxmlformats.org/spreadsheetml/2006/main" count="46" uniqueCount="39">
  <si>
    <t>Accounting 1 Application Problem 5-4</t>
  </si>
  <si>
    <t>Name:</t>
  </si>
  <si>
    <t>page 150</t>
  </si>
  <si>
    <t>PETTY CASH REPORT</t>
  </si>
  <si>
    <t>Date:</t>
  </si>
  <si>
    <t>Custodian:</t>
  </si>
  <si>
    <t>Replenish</t>
  </si>
  <si>
    <t>Explanation</t>
  </si>
  <si>
    <t>Reconciliation</t>
  </si>
  <si>
    <t>Amount</t>
  </si>
  <si>
    <t>Fund Total</t>
  </si>
  <si>
    <t>Payments:</t>
  </si>
  <si>
    <t>Less:</t>
  </si>
  <si>
    <t>Total Payments</t>
  </si>
  <si>
    <t>Equals:</t>
  </si>
  <si>
    <t>Recorded amount on hand</t>
  </si>
  <si>
    <t>Actual Amount on hand</t>
  </si>
  <si>
    <t>Cash short (over)</t>
  </si>
  <si>
    <t>Amount to Replenish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</si>
  <si>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</si>
  <si>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</si>
  <si>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</si>
  <si>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</si>
  <si>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</si>
  <si>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</si>
  <si>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</si>
  <si>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</si>
  <si>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</si>
  <si>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</si>
  <si>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</si>
  <si>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Dhruv Patil</t>
  </si>
  <si>
    <t>Postage Expense</t>
  </si>
  <si>
    <t>Miscellaneous Expense</t>
  </si>
  <si>
    <t>June</t>
  </si>
  <si>
    <t>Petty Cash</t>
  </si>
  <si>
    <t>Cash</t>
  </si>
  <si>
    <t>C44</t>
  </si>
  <si>
    <t>Misscellaneous Expense</t>
  </si>
  <si>
    <t>C70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</si>
</sst>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$&quot;#,##0.00"/>
  </numFmts>
  <fonts count="9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2"/>
      <name val="Arial"/>
      <family val="2"/>
    </font>
    <font>
      <sz val="6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4" fillId="0" borderId="19" xfId="0" applyFont="1" applyBorder="1"/>
    <xf numFmtId="0" fontId="6" fillId="0" borderId="20" xfId="0" applyFont="1" applyBorder="1" applyProtection="1">
      <protection locked="0"/>
    </xf>
    <xf numFmtId="0" fontId="6" fillId="0" borderId="21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43" fontId="6" fillId="0" borderId="21" xfId="1" applyFont="1" applyBorder="1" applyProtection="1">
      <protection locked="0"/>
    </xf>
    <xf numFmtId="0" fontId="4" fillId="0" borderId="22" xfId="0" applyFont="1" applyBorder="1" applyAlignment="1">
      <alignment horizontal="left"/>
    </xf>
    <xf numFmtId="0" fontId="7" fillId="0" borderId="0" xfId="0" applyFont="1" applyAlignment="1">
      <alignment horizontal="center"/>
    </xf>
    <xf numFmtId="0" fontId="6" fillId="0" borderId="17" xfId="0" applyFont="1" applyBorder="1" applyAlignment="1" applyProtection="1">
      <alignment horizontal="left" indent="1"/>
      <protection locked="0"/>
    </xf>
    <xf numFmtId="0" fontId="7" fillId="0" borderId="1" xfId="0" applyFont="1" applyBorder="1"/>
    <xf numFmtId="0" fontId="6" fillId="0" borderId="13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13" xfId="0" applyFont="1" applyBorder="1" applyAlignment="1" applyProtection="1">
      <alignment horizontal="left" indent="1"/>
      <protection locked="0"/>
    </xf>
    <xf numFmtId="0" fontId="3" fillId="0" borderId="23" xfId="0" applyFont="1" applyBorder="1"/>
    <xf numFmtId="0" fontId="3" fillId="0" borderId="24" xfId="0" applyFont="1" applyBorder="1"/>
    <xf numFmtId="0" fontId="3" fillId="0" borderId="25" xfId="0" applyFont="1" applyBorder="1"/>
    <xf numFmtId="0" fontId="3" fillId="0" borderId="26" xfId="0" applyFont="1" applyBorder="1"/>
    <xf numFmtId="0" fontId="3" fillId="0" borderId="12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8" xfId="0" applyFont="1" applyBorder="1"/>
    <xf numFmtId="0" fontId="3" fillId="0" borderId="12" xfId="0" applyFont="1" applyBorder="1" applyAlignment="1">
      <alignment horizontal="center"/>
    </xf>
    <xf numFmtId="0" fontId="3" fillId="2" borderId="0" xfId="0" applyFont="1" applyFill="1"/>
    <xf numFmtId="43" fontId="3" fillId="0" borderId="24" xfId="1" applyFont="1" applyBorder="1" applyAlignment="1"/>
    <xf numFmtId="164" fontId="3" fillId="2" borderId="24" xfId="0" applyNumberFormat="1" applyFont="1" applyFill="1" applyBorder="1"/>
    <xf numFmtId="0" fontId="3" fillId="2" borderId="27" xfId="0" applyFont="1" applyFill="1" applyBorder="1"/>
    <xf numFmtId="43" fontId="3" fillId="0" borderId="29" xfId="1" applyFont="1" applyBorder="1" applyAlignment="1">
      <alignment horizontal="center"/>
    </xf>
    <xf numFmtId="43" fontId="3" fillId="0" borderId="30" xfId="1" applyFont="1" applyBorder="1" applyAlignment="1">
      <alignment horizontal="left"/>
    </xf>
    <xf numFmtId="0" fontId="3" fillId="0" borderId="30" xfId="0" applyFont="1" applyBorder="1" applyAlignment="1">
      <alignment horizontal="left"/>
    </xf>
    <xf numFmtId="43" fontId="3" fillId="0" borderId="1" xfId="1" applyFont="1" applyBorder="1" applyAlignment="1"/>
    <xf numFmtId="43" fontId="3" fillId="0" borderId="0" xfId="1" applyFont="1" applyFill="1" applyBorder="1" applyAlignment="1"/>
    <xf numFmtId="43" fontId="3" fillId="0" borderId="27" xfId="0" applyNumberFormat="1" applyFont="1" applyBorder="1"/>
    <xf numFmtId="43" fontId="3" fillId="2" borderId="0" xfId="1" applyFont="1" applyFill="1" applyBorder="1" applyAlignment="1"/>
    <xf numFmtId="43" fontId="3" fillId="0" borderId="31" xfId="1" applyFont="1" applyBorder="1" applyAlignment="1"/>
    <xf numFmtId="43" fontId="3" fillId="0" borderId="32" xfId="1" applyFont="1" applyBorder="1"/>
    <xf numFmtId="0" fontId="2" fillId="0" borderId="28" xfId="0" applyFont="1" applyBorder="1"/>
    <xf numFmtId="0" fontId="8" fillId="0" borderId="1" xfId="0" applyFont="1" applyBorder="1"/>
    <xf numFmtId="0" fontId="8" fillId="0" borderId="12" xfId="0" applyFont="1" applyBorder="1"/>
    <xf numFmtId="0" fontId="7" fillId="0" borderId="26" xfId="0" applyFont="1" applyBorder="1"/>
    <xf numFmtId="0" fontId="3" fillId="0" borderId="1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3" fillId="0" borderId="31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3" fillId="0" borderId="31" xfId="0" applyFont="1" applyBorder="1" applyAlignment="1">
      <alignment horizontal="center"/>
    </xf>
    <xf numFmtId="15" fontId="3" fillId="0" borderId="1" xfId="0" applyNumberFormat="1" applyFont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13</xdr:row>
      <xdr:rowOff>114300</xdr:rowOff>
    </xdr:from>
    <xdr:to>
      <xdr:col>9</xdr:col>
      <xdr:colOff>600075</xdr:colOff>
      <xdr:row>13</xdr:row>
      <xdr:rowOff>114300</xdr:rowOff>
    </xdr:to>
    <xdr:sp macro="" textlink="">
      <xdr:nvSpPr>
        <xdr:cNvPr id="2051" name="Line 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>
          <a:spLocks noChangeShapeType="1"/>
        </xdr:cNvSpPr>
      </xdr:nvSpPr>
      <xdr:spPr bwMode="auto">
        <a:xfrm>
          <a:off x="6819900" y="2590800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285750</xdr:colOff>
      <xdr:row>16</xdr:row>
      <xdr:rowOff>85725</xdr:rowOff>
    </xdr:from>
    <xdr:to>
      <xdr:col>9</xdr:col>
      <xdr:colOff>600075</xdr:colOff>
      <xdr:row>16</xdr:row>
      <xdr:rowOff>85725</xdr:rowOff>
    </xdr:to>
    <xdr:sp macro="" textlink="">
      <xdr:nvSpPr>
        <xdr:cNvPr id="2052" name="Line 2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>
          <a:spLocks noChangeShapeType="1"/>
        </xdr:cNvSpPr>
      </xdr:nvSpPr>
      <xdr:spPr bwMode="auto">
        <a:xfrm>
          <a:off x="6819900" y="3133725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1\Chapter%204\Chap%204%20Student%20Spreadsheets\Chap%204%20Source%20Documen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Journal"/>
      <sheetName val="General Journal KEY"/>
      <sheetName val="General Ledger"/>
      <sheetName val="General Ledger KEY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33"/>
  <sheetViews>
    <sheetView tabSelected="1" zoomScaleNormal="100" workbookViewId="0">
      <selection activeCell="K31" sqref="K31"/>
    </sheetView>
  </sheetViews>
  <sheetFormatPr defaultRowHeight="11.25" x14ac:dyDescent="0.2"/>
  <cols>
    <col min="1" max="1" width="2.7109375" style="4" customWidth="1"/>
    <col min="2" max="2" width="4.5703125" style="4" customWidth="1"/>
    <col min="3" max="3" width="3.28515625" style="4" customWidth="1"/>
    <col min="4" max="4" width="50.7109375" style="4" customWidth="1"/>
    <col min="5" max="5" width="6.28515625" style="4" customWidth="1"/>
    <col min="6" max="6" width="6.5703125" style="4" customWidth="1"/>
    <col min="7" max="8" width="12.7109375" style="4" customWidth="1"/>
    <col min="9" max="9" width="2.7109375" style="4" customWidth="1"/>
    <col min="10" max="10" width="9.140625" style="4"/>
    <col min="11" max="11" width="10.28515625" style="4" customWidth="1"/>
    <col min="12" max="16384" width="9.140625" style="4"/>
  </cols>
  <sheetData>
    <row r="1" spans="1:11" ht="15" customHeight="1" x14ac:dyDescent="0.25">
      <c r="A1" s="1" t="s">
        <v>0</v>
      </c>
      <c r="B1" s="1"/>
      <c r="C1" s="1"/>
      <c r="D1" s="1"/>
      <c r="E1" s="2" t="s">
        <v>1</v>
      </c>
      <c r="F1" s="44" t="s">
        <v>30</v>
      </c>
      <c r="G1" s="3"/>
      <c r="H1" s="1"/>
      <c r="I1" s="1"/>
    </row>
    <row r="2" spans="1:11" ht="15" customHeight="1" x14ac:dyDescent="0.2">
      <c r="A2" s="1" t="s">
        <v>2</v>
      </c>
      <c r="B2" s="1"/>
      <c r="C2" s="1"/>
      <c r="D2" s="1"/>
      <c r="E2" s="1"/>
      <c r="F2" s="1"/>
      <c r="G2" s="1"/>
      <c r="H2" s="1"/>
      <c r="I2" s="1"/>
    </row>
    <row r="3" spans="1:11" ht="15" customHeight="1" x14ac:dyDescent="0.2">
      <c r="A3" s="1"/>
      <c r="B3" s="1"/>
      <c r="C3" s="1"/>
      <c r="D3" s="1"/>
      <c r="E3" s="1"/>
      <c r="F3" s="1"/>
      <c r="G3" s="1"/>
      <c r="H3" s="1"/>
      <c r="I3" s="1"/>
    </row>
    <row r="4" spans="1:11" ht="15" x14ac:dyDescent="0.2">
      <c r="A4" s="48" t="s">
        <v>3</v>
      </c>
      <c r="B4" s="49"/>
      <c r="C4" s="49"/>
      <c r="D4" s="49"/>
      <c r="E4" s="49"/>
      <c r="F4" s="49"/>
      <c r="G4" s="49"/>
      <c r="H4" s="49"/>
      <c r="I4" s="49"/>
      <c r="J4" s="49"/>
      <c r="K4" s="50"/>
    </row>
    <row r="5" spans="1:11" ht="15" x14ac:dyDescent="0.2">
      <c r="A5" s="51"/>
      <c r="B5" s="2" t="s">
        <v>4</v>
      </c>
      <c r="C5" s="3"/>
      <c r="D5" s="79">
        <v>45107</v>
      </c>
      <c r="E5" s="1"/>
      <c r="F5" s="1"/>
      <c r="G5" s="1"/>
      <c r="H5" s="1" t="s">
        <v>5</v>
      </c>
      <c r="J5" s="3" t="s">
        <v>30</v>
      </c>
      <c r="K5" s="52"/>
    </row>
    <row r="6" spans="1:11" ht="15" x14ac:dyDescent="0.2">
      <c r="A6" s="51"/>
      <c r="B6" s="1"/>
      <c r="C6" s="1"/>
      <c r="D6" s="1"/>
      <c r="E6" s="1"/>
      <c r="F6" s="1"/>
      <c r="G6" s="1"/>
      <c r="H6" s="1"/>
      <c r="I6" s="1"/>
      <c r="J6" s="1"/>
      <c r="K6" s="53"/>
    </row>
    <row r="7" spans="1:11" ht="15" x14ac:dyDescent="0.2">
      <c r="A7" s="51"/>
      <c r="B7" s="1"/>
      <c r="C7" s="1"/>
      <c r="D7" s="1"/>
      <c r="E7" s="1"/>
      <c r="F7" s="1"/>
      <c r="G7" s="1"/>
      <c r="H7" s="1"/>
      <c r="I7" s="1"/>
      <c r="J7" s="1"/>
      <c r="K7" s="54" t="s">
        <v>6</v>
      </c>
    </row>
    <row r="8" spans="1:11" ht="15" x14ac:dyDescent="0.2">
      <c r="A8" s="55"/>
      <c r="B8" s="3"/>
      <c r="C8" s="3"/>
      <c r="D8" s="3" t="s">
        <v>7</v>
      </c>
      <c r="E8" s="3"/>
      <c r="F8" s="3"/>
      <c r="G8" s="3"/>
      <c r="H8" s="7" t="s">
        <v>8</v>
      </c>
      <c r="I8" s="3"/>
      <c r="J8" s="3"/>
      <c r="K8" s="56" t="s">
        <v>9</v>
      </c>
    </row>
    <row r="9" spans="1:11" ht="15" x14ac:dyDescent="0.2">
      <c r="A9" s="51" t="s">
        <v>10</v>
      </c>
      <c r="B9" s="1"/>
      <c r="C9" s="1"/>
      <c r="D9" s="1"/>
      <c r="E9" s="1"/>
      <c r="F9" s="1"/>
      <c r="G9" s="57"/>
      <c r="H9" s="58">
        <v>300</v>
      </c>
      <c r="I9" s="59"/>
      <c r="J9" s="57"/>
      <c r="K9" s="60"/>
    </row>
    <row r="10" spans="1:11" ht="15" x14ac:dyDescent="0.2">
      <c r="A10" s="51" t="s">
        <v>11</v>
      </c>
      <c r="B10" s="1"/>
      <c r="C10" s="1"/>
      <c r="D10" s="74" t="s">
        <v>31</v>
      </c>
      <c r="E10" s="74"/>
      <c r="F10" s="75"/>
      <c r="G10" s="61">
        <v>155</v>
      </c>
      <c r="H10" s="57"/>
      <c r="I10" s="57"/>
      <c r="J10" s="57"/>
      <c r="K10" s="60"/>
    </row>
    <row r="11" spans="1:11" ht="15" x14ac:dyDescent="0.2">
      <c r="A11" s="51"/>
      <c r="B11" s="1"/>
      <c r="C11" s="1"/>
      <c r="D11" s="76" t="s">
        <v>32</v>
      </c>
      <c r="E11" s="76"/>
      <c r="F11" s="77"/>
      <c r="G11" s="62">
        <v>75</v>
      </c>
      <c r="H11" s="57"/>
      <c r="I11" s="57"/>
      <c r="J11" s="57"/>
      <c r="K11" s="60"/>
    </row>
    <row r="12" spans="1:11" ht="15" x14ac:dyDescent="0.2">
      <c r="A12" s="51"/>
      <c r="B12" s="1"/>
      <c r="C12" s="1"/>
      <c r="D12" s="76"/>
      <c r="E12" s="76"/>
      <c r="F12" s="77"/>
      <c r="G12" s="62"/>
      <c r="H12" s="57"/>
      <c r="I12" s="57"/>
      <c r="J12" s="57"/>
      <c r="K12" s="60"/>
    </row>
    <row r="13" spans="1:11" ht="15" x14ac:dyDescent="0.2">
      <c r="A13" s="51"/>
      <c r="B13" s="1"/>
      <c r="C13" s="1"/>
      <c r="D13" s="78"/>
      <c r="E13" s="78"/>
      <c r="F13" s="78"/>
      <c r="G13" s="63"/>
      <c r="H13" s="57"/>
      <c r="I13" s="57"/>
      <c r="J13" s="57"/>
      <c r="K13" s="60"/>
    </row>
    <row r="14" spans="1:11" ht="15" x14ac:dyDescent="0.2">
      <c r="A14" s="51" t="s">
        <v>12</v>
      </c>
      <c r="B14" s="1"/>
      <c r="C14" s="1"/>
      <c r="D14" s="1" t="s">
        <v>13</v>
      </c>
      <c r="E14" s="1"/>
      <c r="F14" s="1"/>
      <c r="G14" s="57"/>
      <c r="H14" s="64">
        <f>G10+G11</f>
        <v>230</v>
      </c>
      <c r="I14" s="65"/>
      <c r="J14" s="1"/>
      <c r="K14" s="66">
        <v>230</v>
      </c>
    </row>
    <row r="15" spans="1:11" ht="15" x14ac:dyDescent="0.2">
      <c r="A15" s="51" t="s">
        <v>14</v>
      </c>
      <c r="B15" s="1"/>
      <c r="C15" s="1"/>
      <c r="D15" s="1" t="s">
        <v>15</v>
      </c>
      <c r="E15" s="1"/>
      <c r="F15" s="1"/>
      <c r="G15" s="57"/>
      <c r="H15" s="64">
        <f>H9-H14</f>
        <v>70</v>
      </c>
      <c r="I15" s="67"/>
      <c r="J15" s="57"/>
      <c r="K15" s="60"/>
    </row>
    <row r="16" spans="1:11" ht="15" x14ac:dyDescent="0.2">
      <c r="A16" s="51" t="s">
        <v>12</v>
      </c>
      <c r="B16" s="1"/>
      <c r="C16" s="1"/>
      <c r="D16" s="1" t="s">
        <v>16</v>
      </c>
      <c r="E16" s="1"/>
      <c r="F16" s="1"/>
      <c r="G16" s="57"/>
      <c r="H16" s="68">
        <v>66</v>
      </c>
      <c r="I16" s="67"/>
      <c r="J16" s="57"/>
      <c r="K16" s="60"/>
    </row>
    <row r="17" spans="1:11" ht="15.75" thickBot="1" x14ac:dyDescent="0.25">
      <c r="A17" s="51" t="s">
        <v>14</v>
      </c>
      <c r="B17" s="1"/>
      <c r="C17" s="1"/>
      <c r="D17" s="1" t="s">
        <v>17</v>
      </c>
      <c r="E17" s="1"/>
      <c r="F17" s="1"/>
      <c r="G17" s="57"/>
      <c r="H17" s="58">
        <v>4</v>
      </c>
      <c r="I17" s="65"/>
      <c r="J17" s="1"/>
      <c r="K17" s="69">
        <v>4</v>
      </c>
    </row>
    <row r="18" spans="1:11" ht="15.75" x14ac:dyDescent="0.25">
      <c r="A18" s="73" t="s">
        <v>18</v>
      </c>
      <c r="B18" s="1"/>
      <c r="C18" s="1"/>
      <c r="D18" s="1"/>
      <c r="E18" s="1"/>
      <c r="F18" s="1"/>
      <c r="G18" s="57"/>
      <c r="H18" s="57"/>
      <c r="I18" s="57"/>
      <c r="J18" s="57"/>
      <c r="K18" s="66">
        <f>K14+K17</f>
        <v>234</v>
      </c>
    </row>
    <row r="19" spans="1:11" ht="6.75" customHeight="1" x14ac:dyDescent="0.2">
      <c r="A19" s="70"/>
      <c r="B19" s="71"/>
      <c r="C19" s="71"/>
      <c r="D19" s="71"/>
      <c r="E19" s="71"/>
      <c r="F19" s="71"/>
      <c r="G19" s="71"/>
      <c r="H19" s="71"/>
      <c r="I19" s="71"/>
      <c r="J19" s="71"/>
      <c r="K19" s="72"/>
    </row>
    <row r="20" spans="1:11" ht="15.75" x14ac:dyDescent="0.25">
      <c r="D20" s="42"/>
    </row>
    <row r="21" spans="1:11" s="8" customFormat="1" ht="15" x14ac:dyDescent="0.2">
      <c r="A21" s="5"/>
      <c r="B21" s="5"/>
      <c r="C21" s="5"/>
      <c r="D21" s="6" t="s">
        <v>19</v>
      </c>
      <c r="E21" s="5"/>
      <c r="F21" s="5"/>
      <c r="G21" s="7" t="s">
        <v>20</v>
      </c>
      <c r="H21" s="6">
        <v>11</v>
      </c>
      <c r="I21" s="5"/>
    </row>
    <row r="22" spans="1:11" s="11" customFormat="1" ht="9" thickBot="1" x14ac:dyDescent="0.2">
      <c r="A22" s="9"/>
      <c r="B22" s="9"/>
      <c r="C22" s="9"/>
      <c r="D22" s="9"/>
      <c r="E22" s="9"/>
      <c r="F22" s="9"/>
      <c r="G22" s="10">
        <v>1</v>
      </c>
      <c r="H22" s="10">
        <v>2</v>
      </c>
      <c r="I22" s="9"/>
    </row>
    <row r="23" spans="1:11" ht="12.95" customHeight="1" thickTop="1" x14ac:dyDescent="0.2">
      <c r="A23" s="12"/>
      <c r="B23" s="13"/>
      <c r="C23" s="14"/>
      <c r="D23" s="15"/>
      <c r="E23" s="15" t="s">
        <v>21</v>
      </c>
      <c r="F23" s="15" t="s">
        <v>22</v>
      </c>
      <c r="G23" s="16" t="s">
        <v>23</v>
      </c>
      <c r="H23" s="17"/>
      <c r="I23" s="13"/>
    </row>
    <row r="24" spans="1:11" ht="12.95" customHeight="1" thickBot="1" x14ac:dyDescent="0.25">
      <c r="A24" s="18"/>
      <c r="B24" s="19" t="s">
        <v>24</v>
      </c>
      <c r="C24" s="20"/>
      <c r="D24" s="21" t="s">
        <v>25</v>
      </c>
      <c r="E24" s="21" t="s">
        <v>26</v>
      </c>
      <c r="F24" s="21" t="s">
        <v>27</v>
      </c>
      <c r="G24" s="22" t="s">
        <v>28</v>
      </c>
      <c r="H24" s="22" t="s">
        <v>29</v>
      </c>
      <c r="I24" s="23"/>
    </row>
    <row r="25" spans="1:11" ht="15.95" customHeight="1" thickTop="1" x14ac:dyDescent="0.2">
      <c r="A25" s="24">
        <v>1</v>
      </c>
      <c r="B25" s="25" t="s">
        <v>33</v>
      </c>
      <c r="C25" s="26">
        <v>3</v>
      </c>
      <c r="D25" s="27" t="s">
        <v>34</v>
      </c>
      <c r="E25" s="27" t="s">
        <v>36</v>
      </c>
      <c r="F25" s="27"/>
      <c r="G25" s="28">
        <v>300</v>
      </c>
      <c r="H25" s="28"/>
      <c r="I25" s="29">
        <v>1</v>
      </c>
    </row>
    <row r="26" spans="1:11" ht="15.95" customHeight="1" x14ac:dyDescent="0.2">
      <c r="A26" s="30">
        <f t="shared" ref="A26:A33" si="0">A25+1</f>
        <v>2</v>
      </c>
      <c r="B26" s="31"/>
      <c r="C26" s="32"/>
      <c r="D26" s="43" t="s">
        <v>35</v>
      </c>
      <c r="E26" s="33"/>
      <c r="F26" s="33"/>
      <c r="G26" s="34"/>
      <c r="H26" s="34">
        <v>300</v>
      </c>
      <c r="I26" s="35">
        <f t="shared" ref="I26:I33" si="1">I25+1</f>
        <v>2</v>
      </c>
    </row>
    <row r="27" spans="1:11" ht="15.95" customHeight="1" thickBot="1" x14ac:dyDescent="0.25">
      <c r="A27" s="36">
        <f t="shared" si="0"/>
        <v>3</v>
      </c>
      <c r="B27" s="37" t="s">
        <v>33</v>
      </c>
      <c r="C27" s="38">
        <v>30</v>
      </c>
      <c r="D27" s="46" t="s">
        <v>31</v>
      </c>
      <c r="E27" s="39" t="s">
        <v>38</v>
      </c>
      <c r="F27" s="39"/>
      <c r="G27" s="40">
        <v>155</v>
      </c>
      <c r="H27" s="40"/>
      <c r="I27" s="41">
        <f t="shared" si="1"/>
        <v>3</v>
      </c>
    </row>
    <row r="28" spans="1:11" ht="15.95" customHeight="1" x14ac:dyDescent="0.2">
      <c r="A28" s="24">
        <f t="shared" si="0"/>
        <v>4</v>
      </c>
      <c r="B28" s="25"/>
      <c r="C28" s="26"/>
      <c r="D28" s="45" t="s">
        <v>37</v>
      </c>
      <c r="E28" s="27"/>
      <c r="F28" s="27"/>
      <c r="G28" s="28">
        <v>75</v>
      </c>
      <c r="H28" s="28"/>
      <c r="I28" s="29">
        <f t="shared" si="1"/>
        <v>4</v>
      </c>
    </row>
    <row r="29" spans="1:11" ht="15.95" customHeight="1" x14ac:dyDescent="0.2">
      <c r="A29" s="30">
        <f t="shared" si="0"/>
        <v>5</v>
      </c>
      <c r="B29" s="31"/>
      <c r="C29" s="32"/>
      <c r="D29" s="33" t="s">
        <v>17</v>
      </c>
      <c r="E29" s="33"/>
      <c r="F29" s="33"/>
      <c r="G29" s="34">
        <v>4</v>
      </c>
      <c r="H29" s="34"/>
      <c r="I29" s="35">
        <f t="shared" si="1"/>
        <v>5</v>
      </c>
    </row>
    <row r="30" spans="1:11" ht="15.95" customHeight="1" thickBot="1" x14ac:dyDescent="0.25">
      <c r="A30" s="36">
        <f t="shared" si="0"/>
        <v>6</v>
      </c>
      <c r="B30" s="37"/>
      <c r="C30" s="38"/>
      <c r="D30" s="47" t="s">
        <v>35</v>
      </c>
      <c r="E30" s="39"/>
      <c r="F30" s="39"/>
      <c r="G30" s="40"/>
      <c r="H30" s="40">
        <v>234</v>
      </c>
      <c r="I30" s="41">
        <f t="shared" si="1"/>
        <v>6</v>
      </c>
    </row>
    <row r="31" spans="1:11" ht="15.95" customHeight="1" x14ac:dyDescent="0.2">
      <c r="A31" s="24">
        <f>A30+1</f>
        <v>7</v>
      </c>
      <c r="B31" s="25"/>
      <c r="C31" s="26"/>
      <c r="D31" s="47"/>
      <c r="E31" s="27"/>
      <c r="F31" s="27"/>
      <c r="G31" s="28"/>
      <c r="H31" s="28"/>
      <c r="I31" s="29">
        <f>I30+1</f>
        <v>7</v>
      </c>
    </row>
    <row r="32" spans="1:11" ht="15.95" customHeight="1" x14ac:dyDescent="0.2">
      <c r="A32" s="30">
        <f t="shared" si="0"/>
        <v>8</v>
      </c>
      <c r="B32" s="31"/>
      <c r="C32" s="32"/>
      <c r="D32" s="33"/>
      <c r="E32" s="33"/>
      <c r="F32" s="33"/>
      <c r="G32" s="34"/>
      <c r="H32" s="34"/>
      <c r="I32" s="35">
        <f t="shared" si="1"/>
        <v>8</v>
      </c>
    </row>
    <row r="33" spans="1:9" ht="15.95" customHeight="1" thickBot="1" x14ac:dyDescent="0.25">
      <c r="A33" s="36">
        <f t="shared" si="0"/>
        <v>9</v>
      </c>
      <c r="B33" s="37"/>
      <c r="C33" s="38"/>
      <c r="D33" s="39"/>
      <c r="E33" s="39"/>
      <c r="F33" s="39"/>
      <c r="G33" s="40"/>
      <c r="H33" s="40"/>
      <c r="I33" s="41">
        <f t="shared" si="1"/>
        <v>9</v>
      </c>
    </row>
  </sheetData>
  <sheetProtection selectLockedCells="1"/>
  <mergeCells count="4">
    <mergeCell ref="D10:F10"/>
    <mergeCell ref="D11:F11"/>
    <mergeCell ref="D12:F12"/>
    <mergeCell ref="D13:F13"/>
  </mergeCells>
  <printOptions horizontalCentered="1"/>
  <pageMargins left="0.25" right="0.25" top="0.5" bottom="0.5" header="0.5" footer="0.5"/>
  <pageSetup scale="85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51B3627-5671-43C8-BD25-A2837A0CA3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FB1219-E5B9-455D-96CB-24AC98F52D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7D5A65-E1EF-4E79-947B-8C216BF71699}">
  <ds:schemaRefs>
    <ds:schemaRef ds:uri="d5bf7610-0a90-45dc-b926-1b234e6c6756"/>
    <ds:schemaRef ds:uri="http://purl.org/dc/elements/1.1/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d758baea-510e-4597-bb40-a09e4fc0f415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P5-4 General Journal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2007-10-29T22:54:12Z</dcterms:created>
  <dcterms:modified xsi:type="dcterms:W3CDTF">2023-11-08T17:20:06Z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10000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