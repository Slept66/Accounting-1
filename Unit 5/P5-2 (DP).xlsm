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5/"/>
    </mc:Choice>
  </mc:AlternateContent>
  <xr:revisionPtr revIDLastSave="26" documentId="8_{E8F89373-F32C-4D52-A2DD-FA8AC8E1FD07}" xr6:coauthVersionLast="47" xr6:coauthVersionMax="47" xr10:uidLastSave="{325FD910-605C-45B9-A42A-BBC99C8E10E8}"/>
  <bookViews>
    <workbookView xWindow="-120" yWindow="-120" windowWidth="21840" windowHeight="13140" activeTab="1" xr2:uid="{00000000-000D-0000-FFFF-FFFF00000000}"/>
  </bookViews>
  <sheets>
    <sheet name="5-2 Reconciliation" sheetId="5" r:id="rId1"/>
    <sheet name="5-2 General Journal" sheetId="4" r:id="rId2"/>
  </sheets>
  <definedNames>
    <definedName name="_xlnm.Print_Area" localSheetId="1">'5-2 General Journal'!$A$1:$L$35</definedName>
    <definedName name="_xlnm.Print_Area" localSheetId="0">'5-2 Reconciliation'!$A$1:$J$32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6" i="5" l="1"/>
  <c r="I24" i="5"/>
  <c r="I15" i="5"/>
  <c r="E26" i="5"/>
  <c r="AO117" i="5"/>
  <c r="AN117" i="5"/>
  <c r="AM117" i="5"/>
  <c r="AL117" i="5"/>
  <c r="AK117" i="5"/>
  <c r="AJ117" i="5"/>
  <c r="AI117" i="5"/>
  <c r="AH117" i="5"/>
  <c r="AG117" i="5"/>
  <c r="AF117" i="5"/>
  <c r="AE117" i="5"/>
  <c r="AO116" i="5"/>
  <c r="AN116" i="5"/>
  <c r="AM116" i="5"/>
  <c r="AL116" i="5"/>
  <c r="AJ116" i="5"/>
  <c r="AI116" i="5"/>
  <c r="AH116" i="5"/>
  <c r="AF116" i="5"/>
  <c r="AE116" i="5"/>
  <c r="AO115" i="5"/>
  <c r="AN115" i="5"/>
  <c r="AM115" i="5"/>
  <c r="AL115" i="5"/>
  <c r="AK115" i="5"/>
  <c r="AJ115" i="5"/>
  <c r="AI115" i="5"/>
  <c r="AH115" i="5"/>
  <c r="AG115" i="5"/>
  <c r="AF115" i="5"/>
  <c r="AE115" i="5"/>
  <c r="AO114" i="5"/>
  <c r="AN114" i="5"/>
  <c r="AM114" i="5"/>
  <c r="AL114" i="5"/>
  <c r="AJ114" i="5"/>
  <c r="AI114" i="5"/>
  <c r="AH114" i="5"/>
  <c r="AG114" i="5"/>
  <c r="AF114" i="5"/>
  <c r="AE114" i="5"/>
  <c r="AO113" i="5"/>
  <c r="AN113" i="5"/>
  <c r="AM113" i="5"/>
  <c r="AL113" i="5"/>
  <c r="AK113" i="5"/>
  <c r="AJ113" i="5"/>
  <c r="AI113" i="5"/>
  <c r="AH113" i="5"/>
  <c r="AG113" i="5"/>
  <c r="AF113" i="5"/>
  <c r="AE113" i="5"/>
  <c r="AO112" i="5"/>
  <c r="AN112" i="5"/>
  <c r="AM112" i="5"/>
  <c r="AL112" i="5"/>
  <c r="AK112" i="5"/>
  <c r="AJ112" i="5"/>
  <c r="AI112" i="5"/>
  <c r="AH112" i="5"/>
  <c r="AG112" i="5"/>
  <c r="AF112" i="5"/>
  <c r="AE112" i="5"/>
  <c r="AO111" i="5"/>
  <c r="AN111" i="5"/>
  <c r="AM111" i="5"/>
  <c r="AL111" i="5"/>
  <c r="AK111" i="5"/>
  <c r="AJ111" i="5"/>
  <c r="AI111" i="5"/>
  <c r="AH111" i="5"/>
  <c r="AG111" i="5"/>
  <c r="AF111" i="5"/>
  <c r="AE111" i="5"/>
  <c r="AO110" i="5"/>
  <c r="AN110" i="5"/>
  <c r="AM110" i="5"/>
  <c r="AL110" i="5"/>
  <c r="AK110" i="5"/>
  <c r="AJ110" i="5"/>
  <c r="AI110" i="5"/>
  <c r="AH110" i="5"/>
  <c r="AG110" i="5"/>
  <c r="AF110" i="5"/>
  <c r="AE110" i="5"/>
  <c r="AO109" i="5"/>
  <c r="AN109" i="5"/>
  <c r="AM109" i="5"/>
  <c r="AL109" i="5"/>
  <c r="AK109" i="5"/>
  <c r="AJ109" i="5"/>
  <c r="AI109" i="5"/>
  <c r="AH109" i="5"/>
  <c r="AG109" i="5"/>
  <c r="AF109" i="5"/>
  <c r="AE109" i="5"/>
  <c r="AO108" i="5"/>
  <c r="AN108" i="5"/>
  <c r="AM108" i="5"/>
  <c r="AL108" i="5"/>
  <c r="AK108" i="5"/>
  <c r="AJ108" i="5"/>
  <c r="AI108" i="5"/>
  <c r="AH108" i="5"/>
  <c r="AG108" i="5"/>
  <c r="AF108" i="5"/>
  <c r="AE108" i="5"/>
  <c r="AO107" i="5"/>
  <c r="AN107" i="5"/>
  <c r="AM107" i="5"/>
  <c r="AL107" i="5"/>
  <c r="AK107" i="5"/>
  <c r="AJ107" i="5"/>
  <c r="AI107" i="5"/>
  <c r="AH107" i="5"/>
  <c r="AG107" i="5"/>
  <c r="AF107" i="5"/>
  <c r="AE107" i="5"/>
  <c r="AO106" i="5"/>
  <c r="AN106" i="5"/>
  <c r="AM106" i="5"/>
  <c r="AL106" i="5"/>
  <c r="AK106" i="5"/>
  <c r="AJ106" i="5"/>
  <c r="AI106" i="5"/>
  <c r="AH106" i="5"/>
  <c r="AF106" i="5"/>
  <c r="AE106" i="5"/>
  <c r="AO105" i="5"/>
  <c r="AN105" i="5"/>
  <c r="AM105" i="5"/>
  <c r="AL105" i="5"/>
  <c r="AJ105" i="5"/>
  <c r="AI105" i="5"/>
  <c r="AH105" i="5"/>
  <c r="AG105" i="5"/>
  <c r="AF105" i="5"/>
  <c r="AE105" i="5"/>
  <c r="AO104" i="5"/>
  <c r="AN104" i="5"/>
  <c r="AM104" i="5"/>
  <c r="AL104" i="5"/>
  <c r="AK104" i="5"/>
  <c r="AJ104" i="5"/>
  <c r="AI104" i="5"/>
  <c r="AH104" i="5"/>
  <c r="AG104" i="5"/>
  <c r="AF104" i="5"/>
  <c r="AE104" i="5"/>
  <c r="AO103" i="5"/>
  <c r="AN103" i="5"/>
  <c r="AM103" i="5"/>
  <c r="AL103" i="5"/>
  <c r="AK103" i="5"/>
  <c r="AJ103" i="5"/>
  <c r="AI103" i="5"/>
  <c r="AH103" i="5"/>
  <c r="AG103" i="5"/>
  <c r="AF103" i="5"/>
  <c r="AE103" i="5"/>
  <c r="AO102" i="5"/>
  <c r="AN102" i="5"/>
  <c r="AM102" i="5"/>
  <c r="AL102" i="5"/>
  <c r="AK102" i="5"/>
  <c r="AJ102" i="5"/>
  <c r="AI102" i="5"/>
  <c r="AH102" i="5"/>
  <c r="AG102" i="5"/>
  <c r="AF102" i="5"/>
  <c r="AE102" i="5"/>
  <c r="AO101" i="5"/>
  <c r="AN101" i="5"/>
  <c r="AM101" i="5"/>
  <c r="AL101" i="5"/>
  <c r="AK101" i="5"/>
  <c r="AJ101" i="5"/>
  <c r="AI101" i="5"/>
  <c r="AH101" i="5"/>
  <c r="AG101" i="5"/>
  <c r="AF101" i="5"/>
  <c r="AE101" i="5"/>
  <c r="AO100" i="5"/>
  <c r="AN100" i="5"/>
  <c r="AM100" i="5"/>
  <c r="AL100" i="5"/>
  <c r="AK100" i="5"/>
  <c r="AJ100" i="5"/>
  <c r="AI100" i="5"/>
  <c r="AH100" i="5"/>
  <c r="AG100" i="5"/>
  <c r="AF100" i="5"/>
  <c r="AE100" i="5"/>
  <c r="AO99" i="5"/>
  <c r="AN99" i="5"/>
  <c r="AM99" i="5"/>
  <c r="AL99" i="5"/>
  <c r="AK99" i="5"/>
  <c r="AJ99" i="5"/>
  <c r="AI99" i="5"/>
  <c r="AH99" i="5"/>
  <c r="AG99" i="5"/>
  <c r="AF99" i="5"/>
  <c r="AE99" i="5"/>
  <c r="AO98" i="5"/>
  <c r="AN98" i="5"/>
  <c r="AM98" i="5"/>
  <c r="AL98" i="5"/>
  <c r="AK98" i="5"/>
  <c r="AJ98" i="5"/>
  <c r="AI98" i="5"/>
  <c r="AH98" i="5"/>
  <c r="AG98" i="5"/>
  <c r="AF98" i="5"/>
  <c r="AE98" i="5"/>
  <c r="AO97" i="5"/>
  <c r="AN97" i="5"/>
  <c r="AM97" i="5"/>
  <c r="AL97" i="5"/>
  <c r="AK97" i="5"/>
  <c r="AJ97" i="5"/>
  <c r="AI97" i="5"/>
  <c r="AH97" i="5"/>
  <c r="AG97" i="5"/>
  <c r="AF97" i="5"/>
  <c r="AE97" i="5"/>
  <c r="AO96" i="5"/>
  <c r="AN96" i="5"/>
  <c r="AM96" i="5"/>
  <c r="AL96" i="5"/>
  <c r="AK96" i="5"/>
  <c r="AJ96" i="5"/>
  <c r="AI96" i="5"/>
  <c r="AH96" i="5"/>
  <c r="AG96" i="5"/>
  <c r="AF96" i="5"/>
  <c r="AE96" i="5"/>
  <c r="AK24" i="5"/>
  <c r="AK114" i="5" s="1"/>
  <c r="AG16" i="5"/>
  <c r="AG106" i="5" s="1"/>
  <c r="AK15" i="5"/>
  <c r="AK105" i="5" s="1"/>
  <c r="AF100" i="4"/>
  <c r="AG100" i="4"/>
  <c r="AH100" i="4"/>
  <c r="AI100" i="4"/>
  <c r="AF101" i="4"/>
  <c r="AJ101" i="4"/>
  <c r="AF102" i="4"/>
  <c r="AG102" i="4"/>
  <c r="AF103" i="4"/>
  <c r="AG103" i="4"/>
  <c r="AJ100" i="4"/>
  <c r="AG101" i="4"/>
  <c r="AH101" i="4"/>
  <c r="AI101" i="4"/>
  <c r="AH102" i="4"/>
  <c r="AI102" i="4"/>
  <c r="AJ102" i="4"/>
  <c r="AH103" i="4"/>
  <c r="AI103" i="4"/>
  <c r="AJ103" i="4"/>
  <c r="AK26" i="5"/>
  <c r="AK116" i="5" s="1"/>
  <c r="AG26" i="5"/>
  <c r="AC1" i="4" l="1"/>
  <c r="A3" i="4" s="1"/>
  <c r="AG116" i="5"/>
  <c r="AE1" i="5"/>
  <c r="A3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Lehman</author>
  </authors>
  <commentList>
    <comment ref="C12" authorId="0" shapeId="0" xr:uid="{00000000-0006-0000-0000-000001000000}">
      <text>
        <r>
          <rPr>
            <sz val="8"/>
            <color indexed="81"/>
            <rFont val="Tahoma"/>
            <family val="2"/>
          </rPr>
          <t>Enter a description of any bank charges.</t>
        </r>
      </text>
    </comment>
    <comment ref="D12" authorId="0" shapeId="0" xr:uid="{00000000-0006-0000-0000-000002000000}">
      <text>
        <r>
          <rPr>
            <sz val="8"/>
            <color indexed="81"/>
            <rFont val="Tahoma"/>
            <family val="2"/>
          </rPr>
          <t>Enter the amount of any bank charges.</t>
        </r>
      </text>
    </comment>
    <comment ref="G12" authorId="0" shapeId="0" xr:uid="{00000000-0006-0000-0000-000003000000}">
      <text>
        <r>
          <rPr>
            <sz val="8"/>
            <color indexed="81"/>
            <rFont val="Tahoma"/>
            <family val="2"/>
          </rPr>
          <t>Click on the arrow to select a date.</t>
        </r>
      </text>
    </comment>
    <comment ref="H12" authorId="0" shapeId="0" xr:uid="{00000000-0006-0000-0000-000004000000}">
      <text>
        <r>
          <rPr>
            <sz val="8"/>
            <color indexed="81"/>
            <rFont val="Tahoma"/>
            <family val="2"/>
          </rPr>
          <t>Enter the amount of any outstanding deposit.</t>
        </r>
      </text>
    </comment>
    <comment ref="G19" authorId="0" shapeId="0" xr:uid="{00000000-0006-0000-0000-000005000000}">
      <text>
        <r>
          <rPr>
            <sz val="8"/>
            <color indexed="81"/>
            <rFont val="Tahoma"/>
            <family val="2"/>
          </rPr>
          <t>Enter the check number of any outstanding check.</t>
        </r>
      </text>
    </comment>
    <comment ref="H19" authorId="0" shapeId="0" xr:uid="{00000000-0006-0000-0000-000006000000}">
      <text>
        <r>
          <rPr>
            <sz val="8"/>
            <color indexed="81"/>
            <rFont val="Tahoma"/>
            <family val="2"/>
          </rPr>
          <t>Enter the amount of any outstanding check.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Lehman</author>
  </authors>
  <commentList>
    <comment ref="F10" authorId="0" shapeId="0" xr:uid="{00000000-0006-0000-0100-000001000000}">
      <text>
        <r>
          <rPr>
            <sz val="8"/>
            <color indexed="81"/>
            <rFont val="Tahoma"/>
            <family val="2"/>
          </rPr>
          <t xml:space="preserve">Click on the arrow to select the appropriate account from the list.
</t>
        </r>
      </text>
    </comment>
    <comment ref="I10" authorId="0" shapeId="0" xr:uid="{00000000-0006-0000-0100-000002000000}">
      <text>
        <r>
          <rPr>
            <sz val="8"/>
            <color indexed="81"/>
            <rFont val="Tahoma"/>
            <family val="2"/>
          </rPr>
          <t>Enter amounts in the appropriate columns for each transaction.</t>
        </r>
      </text>
    </comment>
  </commentList>
</comments>
</file>

<file path=xl/sharedStrings.xml><?xml version="1.0" encoding="utf-8"?>
<sst xmlns="http://schemas.openxmlformats.org/spreadsheetml/2006/main" count="81" uniqueCount="45">
  <si>
    <t>APPLICATION PROBLEM 5-2</t>
  </si>
  <si>
    <t xml:space="preserve">Student's Name: </t>
  </si>
  <si>
    <t>RECONCILIATION OF BANK STATEMENT</t>
  </si>
  <si>
    <t>April 30, 20--</t>
  </si>
  <si>
    <t>(Date)</t>
  </si>
  <si>
    <t>Balance on check stub No.</t>
  </si>
  <si>
    <t>Balance on bank statement</t>
  </si>
  <si>
    <t>Service Charge</t>
  </si>
  <si>
    <t>Deduct Bank Charges:</t>
  </si>
  <si>
    <t>Add Outstanding Deposits:</t>
  </si>
  <si>
    <t>Description</t>
  </si>
  <si>
    <t>Amount</t>
  </si>
  <si>
    <t>Date</t>
  </si>
  <si>
    <t>4/27/--</t>
  </si>
  <si>
    <t>4/29/--</t>
  </si>
  <si>
    <t>4/28/--</t>
  </si>
  <si>
    <t>Total outstanding deposits</t>
  </si>
  <si>
    <t>Subtotal</t>
  </si>
  <si>
    <t>4/30/--</t>
  </si>
  <si>
    <t>Total bank charges</t>
  </si>
  <si>
    <t>Deduct Outstanding Checks:</t>
  </si>
  <si>
    <t>Check No.</t>
  </si>
  <si>
    <t>Total outstanding checks</t>
  </si>
  <si>
    <t>Adjusted Check Stub Balance</t>
  </si>
  <si>
    <t>Adjusted Bank Balance</t>
  </si>
  <si>
    <t>Note: Record the service charge on the check stub provided in the Working Papers.</t>
  </si>
  <si>
    <t xml:space="preserve">      GENERAL JOURNAL</t>
  </si>
  <si>
    <t>PAGE</t>
  </si>
  <si>
    <t>8</t>
  </si>
  <si>
    <t>DATE</t>
  </si>
  <si>
    <t>ACCOUNT TITLE</t>
  </si>
  <si>
    <t>DOC. NO.</t>
  </si>
  <si>
    <t>POST. REF.</t>
  </si>
  <si>
    <t>DEBIT</t>
  </si>
  <si>
    <t>CREDIT</t>
  </si>
  <si>
    <t>20-- Apr.</t>
  </si>
  <si>
    <t>Miscellaneous Expense</t>
  </si>
  <si>
    <t>M36</t>
  </si>
  <si>
    <t>Cash</t>
  </si>
  <si>
    <t>Accts.Rec.-C.Shilling</t>
  </si>
  <si>
    <t>Supplies</t>
  </si>
  <si>
    <t>Accts.Pay.-T. Orbitz</t>
  </si>
  <si>
    <t>Repairs Expense</t>
  </si>
  <si>
    <t>Utilities Expense</t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</si>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</sst>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13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color indexed="17"/>
      <name val="Arial"/>
      <family val="2"/>
    </font>
    <font>
      <sz val="6"/>
      <name val="Arial"/>
      <family val="2"/>
    </font>
    <font>
      <sz val="8"/>
      <color indexed="17"/>
      <name val="Arial"/>
      <family val="2"/>
    </font>
    <font>
      <sz val="8"/>
      <color indexed="81"/>
      <name val="Tahoma"/>
      <family val="2"/>
    </font>
    <font>
      <b/>
      <i/>
      <sz val="6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35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</cellStyleXfs>
  <cellXfs count="178">
    <xf numFmtId="0" fontId="0" fillId="0" borderId="0" xfId="0"/>
    <xf numFmtId="0" fontId="2" fillId="0" borderId="0" xfId="0" applyFont="1"/>
    <xf numFmtId="0" fontId="3" fillId="0" borderId="0" xfId="0" applyFont="1" applyProtection="1">
      <protection hidden="1"/>
    </xf>
    <xf numFmtId="0" fontId="0" fillId="0" borderId="0" xfId="0" applyProtection="1">
      <protection hidden="1"/>
    </xf>
    <xf numFmtId="0" fontId="2" fillId="0" borderId="1" xfId="0" applyFont="1" applyBorder="1" applyAlignment="1" applyProtection="1">
      <alignment horizont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 wrapText="1"/>
      <protection hidden="1"/>
    </xf>
    <xf numFmtId="0" fontId="5" fillId="0" borderId="3" xfId="0" applyFont="1" applyBorder="1" applyAlignment="1" applyProtection="1">
      <alignment horizontal="center"/>
      <protection hidden="1"/>
    </xf>
    <xf numFmtId="43" fontId="6" fillId="0" borderId="1" xfId="1" applyFont="1" applyBorder="1" applyProtection="1">
      <protection hidden="1"/>
    </xf>
    <xf numFmtId="0" fontId="5" fillId="0" borderId="5" xfId="0" applyFont="1" applyBorder="1" applyAlignment="1" applyProtection="1">
      <alignment horizontal="center"/>
      <protection hidden="1"/>
    </xf>
    <xf numFmtId="0" fontId="5" fillId="0" borderId="6" xfId="0" applyFont="1" applyBorder="1" applyAlignment="1" applyProtection="1">
      <alignment horizontal="center"/>
      <protection hidden="1"/>
    </xf>
    <xf numFmtId="0" fontId="5" fillId="0" borderId="7" xfId="0" applyFont="1" applyBorder="1" applyAlignment="1" applyProtection="1">
      <alignment horizontal="center"/>
      <protection hidden="1"/>
    </xf>
    <xf numFmtId="43" fontId="6" fillId="0" borderId="9" xfId="1" applyFont="1" applyBorder="1" applyProtection="1">
      <protection hidden="1"/>
    </xf>
    <xf numFmtId="0" fontId="5" fillId="0" borderId="10" xfId="0" applyFont="1" applyBorder="1" applyAlignment="1" applyProtection="1">
      <alignment horizontal="center"/>
      <protection hidden="1"/>
    </xf>
    <xf numFmtId="43" fontId="6" fillId="0" borderId="12" xfId="1" applyFont="1" applyBorder="1" applyProtection="1">
      <protection hidden="1"/>
    </xf>
    <xf numFmtId="0" fontId="2" fillId="0" borderId="0" xfId="0" applyFont="1" applyProtection="1">
      <protection hidden="1"/>
    </xf>
    <xf numFmtId="0" fontId="0" fillId="0" borderId="13" xfId="0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0" fontId="2" fillId="0" borderId="15" xfId="0" applyFont="1" applyBorder="1" applyAlignment="1" applyProtection="1">
      <alignment horizontal="center" vertical="center"/>
      <protection hidden="1"/>
    </xf>
    <xf numFmtId="0" fontId="2" fillId="0" borderId="15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/>
      <protection hidden="1"/>
    </xf>
    <xf numFmtId="0" fontId="8" fillId="0" borderId="16" xfId="0" applyFont="1" applyBorder="1" applyAlignment="1" applyProtection="1">
      <alignment horizontal="center" wrapText="1"/>
      <protection hidden="1"/>
    </xf>
    <xf numFmtId="0" fontId="9" fillId="0" borderId="17" xfId="0" applyFont="1" applyBorder="1" applyProtection="1">
      <protection hidden="1"/>
    </xf>
    <xf numFmtId="4" fontId="9" fillId="0" borderId="12" xfId="0" applyNumberFormat="1" applyFont="1" applyBorder="1" applyProtection="1">
      <protection hidden="1"/>
    </xf>
    <xf numFmtId="0" fontId="10" fillId="0" borderId="18" xfId="0" applyFont="1" applyBorder="1" applyProtection="1">
      <protection hidden="1"/>
    </xf>
    <xf numFmtId="0" fontId="10" fillId="0" borderId="15" xfId="0" applyFont="1" applyBorder="1" applyProtection="1">
      <protection hidden="1"/>
    </xf>
    <xf numFmtId="0" fontId="9" fillId="0" borderId="15" xfId="0" applyFont="1" applyBorder="1" applyProtection="1">
      <protection hidden="1"/>
    </xf>
    <xf numFmtId="4" fontId="9" fillId="0" borderId="1" xfId="0" applyNumberFormat="1" applyFont="1" applyBorder="1" applyProtection="1">
      <protection hidden="1"/>
    </xf>
    <xf numFmtId="0" fontId="5" fillId="0" borderId="19" xfId="0" applyFont="1" applyBorder="1" applyAlignment="1" applyProtection="1">
      <alignment horizontal="center"/>
      <protection hidden="1"/>
    </xf>
    <xf numFmtId="0" fontId="9" fillId="0" borderId="20" xfId="0" applyFont="1" applyBorder="1" applyProtection="1">
      <protection hidden="1"/>
    </xf>
    <xf numFmtId="0" fontId="9" fillId="0" borderId="21" xfId="0" applyFont="1" applyBorder="1" applyProtection="1">
      <protection hidden="1"/>
    </xf>
    <xf numFmtId="0" fontId="9" fillId="0" borderId="21" xfId="0" applyFont="1" applyBorder="1" applyAlignment="1" applyProtection="1">
      <alignment horizontal="left"/>
      <protection hidden="1"/>
    </xf>
    <xf numFmtId="4" fontId="9" fillId="0" borderId="9" xfId="0" applyNumberFormat="1" applyFont="1" applyBorder="1" applyProtection="1">
      <protection hidden="1"/>
    </xf>
    <xf numFmtId="0" fontId="5" fillId="0" borderId="22" xfId="0" applyFont="1" applyBorder="1" applyAlignment="1" applyProtection="1">
      <alignment horizontal="center"/>
      <protection hidden="1"/>
    </xf>
    <xf numFmtId="0" fontId="9" fillId="0" borderId="16" xfId="0" applyFont="1" applyBorder="1" applyProtection="1">
      <protection hidden="1"/>
    </xf>
    <xf numFmtId="0" fontId="9" fillId="0" borderId="17" xfId="0" applyFont="1" applyBorder="1" applyAlignment="1" applyProtection="1">
      <alignment horizontal="left" indent="1"/>
      <protection hidden="1"/>
    </xf>
    <xf numFmtId="0" fontId="5" fillId="0" borderId="14" xfId="0" applyFont="1" applyBorder="1" applyAlignment="1" applyProtection="1">
      <alignment horizontal="center"/>
      <protection hidden="1"/>
    </xf>
    <xf numFmtId="0" fontId="5" fillId="0" borderId="23" xfId="0" applyFont="1" applyBorder="1" applyAlignment="1" applyProtection="1">
      <alignment horizontal="center"/>
      <protection hidden="1"/>
    </xf>
    <xf numFmtId="0" fontId="9" fillId="0" borderId="17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hidden="1"/>
    </xf>
    <xf numFmtId="0" fontId="9" fillId="0" borderId="21" xfId="0" applyFont="1" applyBorder="1" applyAlignment="1" applyProtection="1">
      <alignment horizontal="left" indent="1"/>
      <protection hidden="1"/>
    </xf>
    <xf numFmtId="0" fontId="9" fillId="0" borderId="24" xfId="0" applyFont="1" applyBorder="1" applyProtection="1">
      <protection hidden="1"/>
    </xf>
    <xf numFmtId="0" fontId="11" fillId="0" borderId="15" xfId="0" applyFont="1" applyBorder="1" applyAlignment="1" applyProtection="1">
      <alignment horizontal="left"/>
      <protection hidden="1"/>
    </xf>
    <xf numFmtId="4" fontId="11" fillId="0" borderId="12" xfId="0" applyNumberFormat="1" applyFont="1" applyBorder="1" applyProtection="1">
      <protection hidden="1"/>
    </xf>
    <xf numFmtId="0" fontId="11" fillId="0" borderId="15" xfId="0" applyFont="1" applyBorder="1" applyAlignment="1" applyProtection="1">
      <alignment horizontal="left" indent="1"/>
      <protection hidden="1"/>
    </xf>
    <xf numFmtId="0" fontId="11" fillId="0" borderId="15" xfId="0" applyFont="1" applyBorder="1" applyProtection="1">
      <protection hidden="1"/>
    </xf>
    <xf numFmtId="0" fontId="3" fillId="0" borderId="0" xfId="4" applyFont="1"/>
    <xf numFmtId="0" fontId="11" fillId="0" borderId="0" xfId="4"/>
    <xf numFmtId="0" fontId="3" fillId="0" borderId="0" xfId="4" quotePrefix="1" applyFont="1"/>
    <xf numFmtId="0" fontId="3" fillId="0" borderId="0" xfId="4" applyFont="1" applyAlignment="1">
      <alignment horizontal="right"/>
    </xf>
    <xf numFmtId="0" fontId="11" fillId="0" borderId="0" xfId="4" applyProtection="1">
      <protection hidden="1"/>
    </xf>
    <xf numFmtId="0" fontId="3" fillId="0" borderId="0" xfId="4" applyFont="1" applyProtection="1">
      <protection hidden="1"/>
    </xf>
    <xf numFmtId="0" fontId="11" fillId="2" borderId="25" xfId="4" applyFill="1" applyBorder="1"/>
    <xf numFmtId="0" fontId="11" fillId="2" borderId="23" xfId="4" applyFill="1" applyBorder="1"/>
    <xf numFmtId="0" fontId="11" fillId="2" borderId="26" xfId="4" applyFill="1" applyBorder="1"/>
    <xf numFmtId="0" fontId="11" fillId="0" borderId="25" xfId="4" applyBorder="1" applyProtection="1">
      <protection hidden="1"/>
    </xf>
    <xf numFmtId="0" fontId="11" fillId="0" borderId="23" xfId="4" applyBorder="1" applyProtection="1">
      <protection hidden="1"/>
    </xf>
    <xf numFmtId="0" fontId="11" fillId="0" borderId="26" xfId="4" applyBorder="1" applyProtection="1">
      <protection hidden="1"/>
    </xf>
    <xf numFmtId="0" fontId="11" fillId="2" borderId="27" xfId="4" applyFill="1" applyBorder="1"/>
    <xf numFmtId="0" fontId="3" fillId="2" borderId="0" xfId="4" applyFont="1" applyFill="1"/>
    <xf numFmtId="0" fontId="11" fillId="2" borderId="0" xfId="4" applyFill="1"/>
    <xf numFmtId="0" fontId="11" fillId="2" borderId="28" xfId="4" applyFill="1" applyBorder="1"/>
    <xf numFmtId="0" fontId="2" fillId="0" borderId="0" xfId="4" applyFont="1" applyAlignment="1">
      <alignment horizontal="right"/>
    </xf>
    <xf numFmtId="0" fontId="2" fillId="0" borderId="0" xfId="4" applyFont="1" applyAlignment="1">
      <alignment horizontal="left"/>
    </xf>
    <xf numFmtId="0" fontId="11" fillId="0" borderId="27" xfId="4" applyBorder="1" applyProtection="1">
      <protection hidden="1"/>
    </xf>
    <xf numFmtId="0" fontId="11" fillId="0" borderId="28" xfId="4" applyBorder="1" applyProtection="1">
      <protection hidden="1"/>
    </xf>
    <xf numFmtId="0" fontId="11" fillId="0" borderId="23" xfId="4" applyBorder="1" applyAlignment="1" applyProtection="1">
      <alignment horizontal="center"/>
      <protection hidden="1"/>
    </xf>
    <xf numFmtId="0" fontId="11" fillId="2" borderId="0" xfId="4" applyFill="1" applyAlignment="1">
      <alignment horizontal="center"/>
    </xf>
    <xf numFmtId="0" fontId="11" fillId="0" borderId="0" xfId="4" applyAlignment="1" applyProtection="1">
      <alignment horizontal="center"/>
      <protection hidden="1"/>
    </xf>
    <xf numFmtId="0" fontId="11" fillId="0" borderId="15" xfId="4" applyBorder="1" applyProtection="1">
      <protection hidden="1"/>
    </xf>
    <xf numFmtId="4" fontId="11" fillId="0" borderId="29" xfId="4" applyNumberFormat="1" applyBorder="1" applyProtection="1">
      <protection hidden="1"/>
    </xf>
    <xf numFmtId="43" fontId="11" fillId="2" borderId="30" xfId="2" applyFont="1" applyFill="1" applyBorder="1"/>
    <xf numFmtId="4" fontId="11" fillId="0" borderId="30" xfId="4" applyNumberFormat="1" applyBorder="1" applyProtection="1">
      <protection hidden="1"/>
    </xf>
    <xf numFmtId="0" fontId="11" fillId="2" borderId="15" xfId="4" applyFill="1" applyBorder="1" applyAlignment="1">
      <alignment horizontal="center"/>
    </xf>
    <xf numFmtId="0" fontId="11" fillId="2" borderId="4" xfId="4" applyFill="1" applyBorder="1" applyAlignment="1">
      <alignment horizontal="center"/>
    </xf>
    <xf numFmtId="0" fontId="11" fillId="0" borderId="15" xfId="4" applyBorder="1" applyAlignment="1" applyProtection="1">
      <alignment horizontal="center"/>
      <protection hidden="1"/>
    </xf>
    <xf numFmtId="0" fontId="11" fillId="0" borderId="4" xfId="4" applyBorder="1" applyAlignment="1" applyProtection="1">
      <alignment horizontal="center"/>
      <protection hidden="1"/>
    </xf>
    <xf numFmtId="0" fontId="11" fillId="0" borderId="15" xfId="4" quotePrefix="1" applyBorder="1" applyAlignment="1" applyProtection="1">
      <alignment horizontal="left" indent="1"/>
      <protection hidden="1"/>
    </xf>
    <xf numFmtId="4" fontId="11" fillId="0" borderId="4" xfId="4" applyNumberFormat="1" applyBorder="1" applyProtection="1">
      <protection hidden="1"/>
    </xf>
    <xf numFmtId="0" fontId="11" fillId="0" borderId="4" xfId="4" applyBorder="1" applyProtection="1">
      <protection hidden="1"/>
    </xf>
    <xf numFmtId="43" fontId="11" fillId="2" borderId="0" xfId="2" applyFont="1" applyFill="1" applyBorder="1"/>
    <xf numFmtId="4" fontId="11" fillId="0" borderId="17" xfId="4" applyNumberFormat="1" applyBorder="1" applyProtection="1">
      <protection hidden="1"/>
    </xf>
    <xf numFmtId="0" fontId="11" fillId="0" borderId="15" xfId="4" applyBorder="1" applyAlignment="1" applyProtection="1">
      <alignment horizontal="left" indent="1"/>
      <protection hidden="1"/>
    </xf>
    <xf numFmtId="4" fontId="11" fillId="0" borderId="31" xfId="4" applyNumberFormat="1" applyBorder="1" applyProtection="1">
      <protection hidden="1"/>
    </xf>
    <xf numFmtId="0" fontId="11" fillId="2" borderId="11" xfId="4" applyFill="1" applyBorder="1"/>
    <xf numFmtId="0" fontId="11" fillId="2" borderId="13" xfId="4" applyFill="1" applyBorder="1"/>
    <xf numFmtId="0" fontId="11" fillId="2" borderId="32" xfId="4" applyFill="1" applyBorder="1"/>
    <xf numFmtId="0" fontId="11" fillId="0" borderId="11" xfId="4" applyBorder="1" applyProtection="1">
      <protection hidden="1"/>
    </xf>
    <xf numFmtId="0" fontId="11" fillId="0" borderId="13" xfId="4" applyBorder="1" applyProtection="1">
      <protection hidden="1"/>
    </xf>
    <xf numFmtId="0" fontId="11" fillId="0" borderId="32" xfId="4" applyBorder="1" applyProtection="1">
      <protection hidden="1"/>
    </xf>
    <xf numFmtId="0" fontId="2" fillId="0" borderId="0" xfId="4" applyFont="1" applyProtection="1">
      <protection hidden="1"/>
    </xf>
    <xf numFmtId="0" fontId="2" fillId="0" borderId="0" xfId="4" applyFont="1"/>
    <xf numFmtId="0" fontId="2" fillId="0" borderId="17" xfId="0" applyFont="1" applyBorder="1" applyAlignment="1" applyProtection="1">
      <alignment horizontal="center"/>
      <protection hidden="1"/>
    </xf>
    <xf numFmtId="0" fontId="6" fillId="3" borderId="17" xfId="0" applyFont="1" applyFill="1" applyBorder="1" applyProtection="1">
      <protection locked="0"/>
    </xf>
    <xf numFmtId="0" fontId="6" fillId="3" borderId="15" xfId="0" applyFont="1" applyFill="1" applyBorder="1" applyAlignment="1" applyProtection="1">
      <alignment horizontal="center"/>
      <protection locked="0"/>
    </xf>
    <xf numFmtId="43" fontId="6" fillId="3" borderId="1" xfId="1" applyFont="1" applyFill="1" applyBorder="1" applyProtection="1">
      <protection locked="0"/>
    </xf>
    <xf numFmtId="0" fontId="6" fillId="3" borderId="15" xfId="0" applyFont="1" applyFill="1" applyBorder="1" applyAlignment="1" applyProtection="1">
      <alignment horizontal="left" indent="1"/>
      <protection locked="0"/>
    </xf>
    <xf numFmtId="0" fontId="6" fillId="3" borderId="21" xfId="0" applyFont="1" applyFill="1" applyBorder="1" applyAlignment="1" applyProtection="1">
      <alignment horizontal="left"/>
      <protection locked="0"/>
    </xf>
    <xf numFmtId="0" fontId="6" fillId="3" borderId="21" xfId="0" applyFont="1" applyFill="1" applyBorder="1" applyAlignment="1" applyProtection="1">
      <alignment horizontal="center"/>
      <protection locked="0"/>
    </xf>
    <xf numFmtId="43" fontId="6" fillId="3" borderId="9" xfId="1" applyFont="1" applyFill="1" applyBorder="1" applyProtection="1">
      <protection locked="0"/>
    </xf>
    <xf numFmtId="0" fontId="6" fillId="3" borderId="17" xfId="0" applyFont="1" applyFill="1" applyBorder="1" applyAlignment="1" applyProtection="1">
      <alignment horizontal="left" indent="1"/>
      <protection locked="0"/>
    </xf>
    <xf numFmtId="0" fontId="6" fillId="3" borderId="17" xfId="0" applyFont="1" applyFill="1" applyBorder="1" applyAlignment="1" applyProtection="1">
      <alignment horizontal="center"/>
      <protection locked="0"/>
    </xf>
    <xf numFmtId="43" fontId="6" fillId="3" borderId="12" xfId="1" applyFont="1" applyFill="1" applyBorder="1" applyProtection="1">
      <protection locked="0"/>
    </xf>
    <xf numFmtId="0" fontId="6" fillId="3" borderId="15" xfId="0" applyFont="1" applyFill="1" applyBorder="1" applyAlignment="1" applyProtection="1">
      <alignment horizontal="left"/>
      <protection locked="0"/>
    </xf>
    <xf numFmtId="0" fontId="6" fillId="3" borderId="21" xfId="0" applyFont="1" applyFill="1" applyBorder="1" applyAlignment="1" applyProtection="1">
      <alignment horizontal="left" indent="1"/>
      <protection locked="0"/>
    </xf>
    <xf numFmtId="0" fontId="3" fillId="0" borderId="0" xfId="0" applyFont="1" applyAlignment="1">
      <alignment horizontal="right"/>
    </xf>
    <xf numFmtId="0" fontId="3" fillId="0" borderId="0" xfId="0" applyFont="1"/>
    <xf numFmtId="0" fontId="4" fillId="3" borderId="0" xfId="4" applyFont="1" applyFill="1" applyAlignment="1" applyProtection="1">
      <alignment horizontal="center"/>
      <protection locked="0"/>
    </xf>
    <xf numFmtId="44" fontId="4" fillId="3" borderId="29" xfId="3" applyFont="1" applyFill="1" applyBorder="1" applyAlignment="1" applyProtection="1">
      <alignment horizontal="center"/>
      <protection locked="0"/>
    </xf>
    <xf numFmtId="44" fontId="4" fillId="3" borderId="17" xfId="3" applyFont="1" applyFill="1" applyBorder="1" applyAlignment="1" applyProtection="1">
      <alignment horizontal="center"/>
      <protection locked="0"/>
    </xf>
    <xf numFmtId="44" fontId="4" fillId="3" borderId="33" xfId="3" applyFont="1" applyFill="1" applyBorder="1" applyAlignment="1" applyProtection="1">
      <alignment horizontal="center"/>
      <protection locked="0"/>
    </xf>
    <xf numFmtId="44" fontId="4" fillId="3" borderId="31" xfId="3" applyFont="1" applyFill="1" applyBorder="1" applyAlignment="1" applyProtection="1">
      <alignment horizontal="center"/>
      <protection locked="0"/>
    </xf>
    <xf numFmtId="43" fontId="4" fillId="3" borderId="17" xfId="2" applyFont="1" applyFill="1" applyBorder="1" applyAlignment="1" applyProtection="1">
      <alignment horizontal="center"/>
      <protection locked="0"/>
    </xf>
    <xf numFmtId="44" fontId="4" fillId="3" borderId="15" xfId="3" applyFont="1" applyFill="1" applyBorder="1" applyAlignment="1" applyProtection="1">
      <alignment horizontal="center"/>
      <protection locked="0"/>
    </xf>
    <xf numFmtId="43" fontId="4" fillId="3" borderId="30" xfId="2" applyFont="1" applyFill="1" applyBorder="1" applyAlignment="1" applyProtection="1">
      <alignment horizontal="center"/>
      <protection locked="0"/>
    </xf>
    <xf numFmtId="0" fontId="4" fillId="3" borderId="15" xfId="4" applyFont="1" applyFill="1" applyBorder="1" applyAlignment="1" applyProtection="1">
      <alignment horizontal="left" indent="1"/>
      <protection locked="0"/>
    </xf>
    <xf numFmtId="43" fontId="4" fillId="3" borderId="4" xfId="2" applyFont="1" applyFill="1" applyBorder="1" applyAlignment="1" applyProtection="1">
      <alignment horizontal="center"/>
      <protection locked="0"/>
    </xf>
    <xf numFmtId="43" fontId="4" fillId="3" borderId="29" xfId="2" applyFont="1" applyFill="1" applyBorder="1" applyAlignment="1" applyProtection="1">
      <alignment horizontal="center"/>
      <protection locked="0"/>
    </xf>
    <xf numFmtId="43" fontId="4" fillId="3" borderId="15" xfId="2" applyFont="1" applyFill="1" applyBorder="1" applyAlignment="1" applyProtection="1">
      <alignment horizontal="center"/>
      <protection locked="0"/>
    </xf>
    <xf numFmtId="0" fontId="0" fillId="4" borderId="28" xfId="0" applyFill="1" applyBorder="1"/>
    <xf numFmtId="0" fontId="0" fillId="4" borderId="25" xfId="0" applyFill="1" applyBorder="1"/>
    <xf numFmtId="0" fontId="0" fillId="4" borderId="23" xfId="0" applyFill="1" applyBorder="1"/>
    <xf numFmtId="0" fontId="0" fillId="4" borderId="26" xfId="0" applyFill="1" applyBorder="1"/>
    <xf numFmtId="0" fontId="0" fillId="4" borderId="27" xfId="0" applyFill="1" applyBorder="1"/>
    <xf numFmtId="0" fontId="0" fillId="4" borderId="13" xfId="0" applyFill="1" applyBorder="1"/>
    <xf numFmtId="43" fontId="2" fillId="4" borderId="13" xfId="1" applyFont="1" applyFill="1" applyBorder="1" applyAlignment="1" applyProtection="1">
      <alignment horizontal="right"/>
    </xf>
    <xf numFmtId="164" fontId="2" fillId="4" borderId="13" xfId="1" quotePrefix="1" applyNumberFormat="1" applyFont="1" applyFill="1" applyBorder="1" applyAlignment="1" applyProtection="1">
      <alignment horizontal="left"/>
    </xf>
    <xf numFmtId="0" fontId="0" fillId="4" borderId="2" xfId="0" applyFill="1" applyBorder="1"/>
    <xf numFmtId="164" fontId="5" fillId="4" borderId="2" xfId="1" quotePrefix="1" applyNumberFormat="1" applyFont="1" applyFill="1" applyBorder="1" applyAlignment="1" applyProtection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 wrapText="1"/>
    </xf>
    <xf numFmtId="0" fontId="5" fillId="4" borderId="6" xfId="0" applyFont="1" applyFill="1" applyBorder="1" applyAlignment="1">
      <alignment horizontal="center"/>
    </xf>
    <xf numFmtId="0" fontId="2" fillId="4" borderId="18" xfId="0" applyFont="1" applyFill="1" applyBorder="1"/>
    <xf numFmtId="0" fontId="5" fillId="4" borderId="7" xfId="0" applyFont="1" applyFill="1" applyBorder="1" applyAlignment="1">
      <alignment horizontal="center"/>
    </xf>
    <xf numFmtId="0" fontId="2" fillId="4" borderId="20" xfId="0" applyFont="1" applyFill="1" applyBorder="1"/>
    <xf numFmtId="0" fontId="5" fillId="4" borderId="10" xfId="0" applyFont="1" applyFill="1" applyBorder="1" applyAlignment="1">
      <alignment horizontal="center"/>
    </xf>
    <xf numFmtId="0" fontId="2" fillId="4" borderId="16" xfId="0" applyFont="1" applyFill="1" applyBorder="1"/>
    <xf numFmtId="0" fontId="5" fillId="4" borderId="23" xfId="0" applyFont="1" applyFill="1" applyBorder="1" applyAlignment="1">
      <alignment horizontal="center"/>
    </xf>
    <xf numFmtId="0" fontId="0" fillId="4" borderId="11" xfId="0" applyFill="1" applyBorder="1"/>
    <xf numFmtId="0" fontId="0" fillId="4" borderId="32" xfId="0" applyFill="1" applyBorder="1"/>
    <xf numFmtId="0" fontId="5" fillId="4" borderId="5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2" fillId="4" borderId="15" xfId="0" applyFont="1" applyFill="1" applyBorder="1"/>
    <xf numFmtId="0" fontId="2" fillId="4" borderId="11" xfId="0" applyFont="1" applyFill="1" applyBorder="1"/>
    <xf numFmtId="0" fontId="2" fillId="0" borderId="11" xfId="0" applyFont="1" applyBorder="1" applyProtection="1">
      <protection hidden="1"/>
    </xf>
    <xf numFmtId="0" fontId="2" fillId="4" borderId="4" xfId="0" applyFont="1" applyFill="1" applyBorder="1"/>
    <xf numFmtId="0" fontId="2" fillId="0" borderId="4" xfId="0" applyFont="1" applyBorder="1" applyProtection="1">
      <protection hidden="1"/>
    </xf>
    <xf numFmtId="4" fontId="2" fillId="0" borderId="1" xfId="0" applyNumberFormat="1" applyFont="1" applyBorder="1" applyProtection="1">
      <protection hidden="1"/>
    </xf>
    <xf numFmtId="0" fontId="2" fillId="4" borderId="21" xfId="0" applyFont="1" applyFill="1" applyBorder="1"/>
    <xf numFmtId="0" fontId="2" fillId="4" borderId="8" xfId="0" applyFont="1" applyFill="1" applyBorder="1"/>
    <xf numFmtId="0" fontId="2" fillId="0" borderId="8" xfId="0" applyFont="1" applyBorder="1" applyProtection="1">
      <protection hidden="1"/>
    </xf>
    <xf numFmtId="0" fontId="2" fillId="4" borderId="17" xfId="0" applyFont="1" applyFill="1" applyBorder="1"/>
    <xf numFmtId="0" fontId="12" fillId="0" borderId="0" xfId="4" applyFont="1" applyAlignment="1" applyProtection="1">
      <alignment horizontal="left"/>
      <protection locked="0"/>
    </xf>
    <xf numFmtId="0" fontId="11" fillId="2" borderId="13" xfId="4" applyFill="1" applyBorder="1" applyAlignment="1">
      <alignment horizontal="center"/>
    </xf>
    <xf numFmtId="0" fontId="11" fillId="2" borderId="13" xfId="4" quotePrefix="1" applyFill="1" applyBorder="1" applyAlignment="1">
      <alignment horizontal="center"/>
    </xf>
    <xf numFmtId="0" fontId="11" fillId="0" borderId="13" xfId="4" applyBorder="1" applyAlignment="1" applyProtection="1">
      <alignment horizontal="center"/>
      <protection hidden="1"/>
    </xf>
    <xf numFmtId="0" fontId="11" fillId="0" borderId="13" xfId="4" quotePrefix="1" applyBorder="1" applyAlignment="1" applyProtection="1">
      <alignment horizontal="center"/>
      <protection hidden="1"/>
    </xf>
    <xf numFmtId="0" fontId="11" fillId="2" borderId="23" xfId="4" applyFill="1" applyBorder="1" applyAlignment="1">
      <alignment horizontal="center"/>
    </xf>
    <xf numFmtId="0" fontId="12" fillId="0" borderId="0" xfId="0" applyFont="1" applyAlignment="1" applyProtection="1">
      <alignment horizontal="left"/>
      <protection locked="0"/>
    </xf>
    <xf numFmtId="0" fontId="2" fillId="0" borderId="14" xfId="0" applyFont="1" applyBorder="1" applyAlignment="1" applyProtection="1">
      <alignment horizontal="center" vertical="center"/>
      <protection hidden="1"/>
    </xf>
    <xf numFmtId="0" fontId="2" fillId="0" borderId="32" xfId="0" applyFont="1" applyBorder="1" applyAlignment="1" applyProtection="1">
      <alignment horizontal="center" vertical="center"/>
      <protection hidden="1"/>
    </xf>
    <xf numFmtId="0" fontId="0" fillId="4" borderId="34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2" fillId="4" borderId="15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43" fontId="2" fillId="4" borderId="1" xfId="1" applyFont="1" applyFill="1" applyBorder="1" applyAlignment="1" applyProtection="1">
      <alignment horizontal="center" vertical="center" wrapText="1"/>
    </xf>
    <xf numFmtId="43" fontId="2" fillId="4" borderId="3" xfId="1" applyFont="1" applyFill="1" applyBorder="1" applyAlignment="1" applyProtection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5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2" fillId="4" borderId="34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</cellXfs>
  <cellStyles count="5">
    <cellStyle name="Comma" xfId="1" builtinId="3"/>
    <cellStyle name="Comma 2" xfId="2" xr:uid="{00000000-0005-0000-0000-000001000000}"/>
    <cellStyle name="Currency 2" xfId="3" xr:uid="{00000000-0005-0000-0000-000002000000}"/>
    <cellStyle name="Normal" xfId="0" builtinId="0"/>
    <cellStyle name="Normal 2" xfId="4" xr:uid="{00000000-0005-0000-0000-000004000000}"/>
  </cellStyles>
  <dxfs count="3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O123"/>
  <sheetViews>
    <sheetView showGridLines="0" workbookViewId="0">
      <selection activeCell="G1" sqref="G1:J1"/>
    </sheetView>
  </sheetViews>
  <sheetFormatPr defaultRowHeight="12.75" x14ac:dyDescent="0.2"/>
  <cols>
    <col min="1" max="2" width="1.5703125" style="47" customWidth="1"/>
    <col min="3" max="3" width="23.28515625" style="47" customWidth="1"/>
    <col min="4" max="5" width="10.85546875" style="47" customWidth="1"/>
    <col min="6" max="6" width="4" style="47" customWidth="1"/>
    <col min="7" max="7" width="16.5703125" style="47" customWidth="1"/>
    <col min="8" max="9" width="10.85546875" style="47" customWidth="1"/>
    <col min="10" max="10" width="1.42578125" style="47" customWidth="1"/>
    <col min="11" max="13" width="10.85546875" style="47" customWidth="1"/>
    <col min="14" max="14" width="9.85546875" style="47" customWidth="1"/>
    <col min="15" max="26" width="9.140625" style="47"/>
    <col min="27" max="27" width="0" style="47" hidden="1" customWidth="1"/>
    <col min="28" max="28" width="9.140625" style="50" hidden="1" customWidth="1"/>
    <col min="29" max="29" width="12.140625" style="50" hidden="1" customWidth="1"/>
    <col min="30" max="30" width="4.140625" style="50" hidden="1" customWidth="1"/>
    <col min="31" max="38" width="9.140625" style="50" hidden="1" customWidth="1"/>
    <col min="39" max="42" width="0" style="47" hidden="1" customWidth="1"/>
    <col min="43" max="16384" width="9.140625" style="47"/>
  </cols>
  <sheetData>
    <row r="1" spans="1:38" x14ac:dyDescent="0.2">
      <c r="A1" s="46" t="s">
        <v>0</v>
      </c>
      <c r="E1" s="48"/>
      <c r="F1" s="49" t="s">
        <v>1</v>
      </c>
      <c r="G1" s="155" t="s">
        <v>44</v>
      </c>
      <c r="H1" s="155"/>
      <c r="I1" s="155"/>
      <c r="J1" s="155"/>
      <c r="AE1" s="50">
        <f>SUM(AE96:AO123)</f>
        <v>0</v>
      </c>
    </row>
    <row r="3" spans="1:38" ht="12.75" customHeight="1" x14ac:dyDescent="0.2">
      <c r="A3" s="51" t="str">
        <f>IF(SUM(AE1)=0,"You have successfully completed this problem.","You have "&amp;AE1&amp; " item(s) remaining to answer correctly.")</f>
        <v>You have successfully completed this problem.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</row>
    <row r="4" spans="1:38" ht="12.75" customHeight="1" x14ac:dyDescent="0.2">
      <c r="A4" s="51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</row>
    <row r="5" spans="1:38" ht="12.75" customHeight="1" x14ac:dyDescent="0.2">
      <c r="B5" s="52"/>
      <c r="C5" s="53"/>
      <c r="D5" s="53"/>
      <c r="E5" s="53"/>
      <c r="F5" s="53"/>
      <c r="G5" s="53"/>
      <c r="H5" s="53"/>
      <c r="I5" s="53"/>
      <c r="J5" s="54"/>
      <c r="AD5" s="55"/>
      <c r="AE5" s="56"/>
      <c r="AF5" s="56"/>
      <c r="AG5" s="56"/>
      <c r="AH5" s="56"/>
      <c r="AI5" s="56"/>
      <c r="AJ5" s="56"/>
      <c r="AK5" s="56"/>
      <c r="AL5" s="57"/>
    </row>
    <row r="6" spans="1:38" ht="12.75" customHeight="1" x14ac:dyDescent="0.2">
      <c r="B6" s="58"/>
      <c r="C6" s="59" t="s">
        <v>2</v>
      </c>
      <c r="D6" s="60"/>
      <c r="E6" s="60"/>
      <c r="F6" s="60"/>
      <c r="G6" s="60"/>
      <c r="H6" s="156" t="s">
        <v>3</v>
      </c>
      <c r="I6" s="157"/>
      <c r="J6" s="61"/>
      <c r="L6" s="62"/>
      <c r="M6" s="63"/>
      <c r="AD6" s="64"/>
      <c r="AE6" s="51" t="s">
        <v>2</v>
      </c>
      <c r="AJ6" s="158" t="s">
        <v>3</v>
      </c>
      <c r="AK6" s="159"/>
      <c r="AL6" s="65"/>
    </row>
    <row r="7" spans="1:38" x14ac:dyDescent="0.2">
      <c r="B7" s="58"/>
      <c r="C7" s="60"/>
      <c r="D7" s="60"/>
      <c r="E7" s="60"/>
      <c r="F7" s="60"/>
      <c r="G7" s="60"/>
      <c r="H7" s="160" t="s">
        <v>4</v>
      </c>
      <c r="I7" s="160"/>
      <c r="J7" s="61"/>
      <c r="L7" s="62"/>
      <c r="M7" s="63"/>
      <c r="AD7" s="64"/>
      <c r="AJ7" s="66" t="s">
        <v>4</v>
      </c>
      <c r="AK7" s="66"/>
      <c r="AL7" s="65"/>
    </row>
    <row r="8" spans="1:38" x14ac:dyDescent="0.2">
      <c r="B8" s="58"/>
      <c r="C8" s="60"/>
      <c r="D8" s="60"/>
      <c r="E8" s="60"/>
      <c r="F8" s="60"/>
      <c r="G8" s="60"/>
      <c r="H8" s="67"/>
      <c r="I8" s="67"/>
      <c r="J8" s="61"/>
      <c r="L8" s="62"/>
      <c r="M8" s="63"/>
      <c r="AD8" s="64"/>
      <c r="AJ8" s="68"/>
      <c r="AK8" s="68"/>
      <c r="AL8" s="65"/>
    </row>
    <row r="9" spans="1:38" x14ac:dyDescent="0.2">
      <c r="B9" s="58"/>
      <c r="C9" s="60" t="s">
        <v>5</v>
      </c>
      <c r="D9" s="107">
        <v>477</v>
      </c>
      <c r="E9" s="108">
        <v>2116.15</v>
      </c>
      <c r="F9" s="60"/>
      <c r="G9" s="60" t="s">
        <v>6</v>
      </c>
      <c r="H9" s="60"/>
      <c r="I9" s="108">
        <v>1812</v>
      </c>
      <c r="J9" s="61"/>
      <c r="L9" s="62"/>
      <c r="M9" s="63"/>
      <c r="AB9" s="69" t="s">
        <v>7</v>
      </c>
      <c r="AD9" s="64"/>
      <c r="AE9" s="50" t="s">
        <v>5</v>
      </c>
      <c r="AF9" s="68">
        <v>477</v>
      </c>
      <c r="AG9" s="70">
        <v>2116.15</v>
      </c>
      <c r="AI9" s="50" t="s">
        <v>6</v>
      </c>
      <c r="AK9" s="70">
        <v>1812</v>
      </c>
      <c r="AL9" s="65"/>
    </row>
    <row r="10" spans="1:38" x14ac:dyDescent="0.2">
      <c r="B10" s="58"/>
      <c r="C10" s="59" t="s">
        <v>8</v>
      </c>
      <c r="D10" s="60"/>
      <c r="E10" s="71"/>
      <c r="F10" s="60"/>
      <c r="G10" s="59" t="s">
        <v>9</v>
      </c>
      <c r="H10" s="60"/>
      <c r="I10" s="71"/>
      <c r="J10" s="61"/>
      <c r="L10" s="62"/>
      <c r="M10" s="63"/>
      <c r="AD10" s="64"/>
      <c r="AE10" s="51" t="s">
        <v>8</v>
      </c>
      <c r="AG10" s="72"/>
      <c r="AI10" s="51" t="s">
        <v>9</v>
      </c>
      <c r="AK10" s="72"/>
      <c r="AL10" s="65"/>
    </row>
    <row r="11" spans="1:38" x14ac:dyDescent="0.2">
      <c r="B11" s="58"/>
      <c r="C11" s="73" t="s">
        <v>10</v>
      </c>
      <c r="D11" s="74" t="s">
        <v>11</v>
      </c>
      <c r="E11" s="71"/>
      <c r="F11" s="60"/>
      <c r="G11" s="73" t="s">
        <v>12</v>
      </c>
      <c r="H11" s="74" t="s">
        <v>11</v>
      </c>
      <c r="I11" s="71"/>
      <c r="J11" s="61"/>
      <c r="L11" s="62"/>
      <c r="M11" s="63"/>
      <c r="AD11" s="64"/>
      <c r="AE11" s="75" t="s">
        <v>10</v>
      </c>
      <c r="AF11" s="76" t="s">
        <v>11</v>
      </c>
      <c r="AG11" s="72"/>
      <c r="AI11" s="75" t="s">
        <v>12</v>
      </c>
      <c r="AJ11" s="75" t="s">
        <v>11</v>
      </c>
      <c r="AK11" s="72"/>
      <c r="AL11" s="65"/>
    </row>
    <row r="12" spans="1:38" x14ac:dyDescent="0.2">
      <c r="B12" s="58"/>
      <c r="C12" s="115" t="s">
        <v>7</v>
      </c>
      <c r="D12" s="108">
        <v>25</v>
      </c>
      <c r="E12" s="71"/>
      <c r="F12" s="60"/>
      <c r="G12" s="115" t="s">
        <v>14</v>
      </c>
      <c r="H12" s="108">
        <v>805.1</v>
      </c>
      <c r="I12" s="71"/>
      <c r="J12" s="61"/>
      <c r="L12" s="62"/>
      <c r="M12" s="63"/>
      <c r="AB12" s="77" t="s">
        <v>13</v>
      </c>
      <c r="AD12" s="64"/>
      <c r="AE12" s="69" t="s">
        <v>7</v>
      </c>
      <c r="AF12" s="78">
        <v>25</v>
      </c>
      <c r="AG12" s="72"/>
      <c r="AI12" s="77" t="s">
        <v>14</v>
      </c>
      <c r="AJ12" s="69">
        <v>805.1</v>
      </c>
      <c r="AK12" s="72"/>
      <c r="AL12" s="65"/>
    </row>
    <row r="13" spans="1:38" x14ac:dyDescent="0.2">
      <c r="B13" s="58"/>
      <c r="C13" s="115"/>
      <c r="D13" s="117"/>
      <c r="E13" s="71"/>
      <c r="F13" s="60"/>
      <c r="G13" s="115"/>
      <c r="H13" s="116"/>
      <c r="I13" s="71"/>
      <c r="J13" s="61"/>
      <c r="L13" s="62"/>
      <c r="M13" s="63"/>
      <c r="AB13" s="77" t="s">
        <v>15</v>
      </c>
      <c r="AD13" s="64"/>
      <c r="AE13" s="69"/>
      <c r="AF13" s="79"/>
      <c r="AG13" s="72"/>
      <c r="AI13" s="69"/>
      <c r="AJ13" s="69"/>
      <c r="AK13" s="72"/>
      <c r="AL13" s="65"/>
    </row>
    <row r="14" spans="1:38" x14ac:dyDescent="0.2">
      <c r="B14" s="58"/>
      <c r="C14" s="115"/>
      <c r="D14" s="117"/>
      <c r="E14" s="71"/>
      <c r="F14" s="60"/>
      <c r="G14" s="60" t="s">
        <v>16</v>
      </c>
      <c r="H14" s="80"/>
      <c r="I14" s="114">
        <v>805.1</v>
      </c>
      <c r="J14" s="61"/>
      <c r="L14" s="62"/>
      <c r="M14" s="63"/>
      <c r="AB14" s="77" t="s">
        <v>14</v>
      </c>
      <c r="AD14" s="64"/>
      <c r="AE14" s="69"/>
      <c r="AF14" s="79"/>
      <c r="AG14" s="72"/>
      <c r="AI14" s="50" t="s">
        <v>16</v>
      </c>
      <c r="AK14" s="81">
        <v>805.1</v>
      </c>
      <c r="AL14" s="65"/>
    </row>
    <row r="15" spans="1:38" x14ac:dyDescent="0.2">
      <c r="B15" s="58"/>
      <c r="C15" s="115"/>
      <c r="D15" s="118"/>
      <c r="E15" s="71"/>
      <c r="F15" s="60"/>
      <c r="G15" s="60" t="s">
        <v>17</v>
      </c>
      <c r="H15" s="60"/>
      <c r="I15" s="113">
        <f>I9+I14</f>
        <v>2617.1</v>
      </c>
      <c r="J15" s="61"/>
      <c r="L15" s="62"/>
      <c r="M15" s="63"/>
      <c r="AB15" s="82" t="s">
        <v>18</v>
      </c>
      <c r="AD15" s="64"/>
      <c r="AE15" s="69"/>
      <c r="AF15" s="79"/>
      <c r="AG15" s="72"/>
      <c r="AI15" s="50" t="s">
        <v>17</v>
      </c>
      <c r="AK15" s="81">
        <f>+AK9+AK14</f>
        <v>2617.1</v>
      </c>
      <c r="AL15" s="65"/>
    </row>
    <row r="16" spans="1:38" x14ac:dyDescent="0.2">
      <c r="B16" s="58"/>
      <c r="C16" s="60" t="s">
        <v>19</v>
      </c>
      <c r="D16" s="60"/>
      <c r="E16" s="109">
        <v>25</v>
      </c>
      <c r="F16" s="60"/>
      <c r="G16" s="60"/>
      <c r="H16" s="60"/>
      <c r="I16" s="71"/>
      <c r="J16" s="61"/>
      <c r="L16" s="62"/>
      <c r="M16" s="63"/>
      <c r="AD16" s="64"/>
      <c r="AE16" s="50" t="s">
        <v>19</v>
      </c>
      <c r="AG16" s="81">
        <f>+AF12</f>
        <v>25</v>
      </c>
      <c r="AK16" s="72"/>
      <c r="AL16" s="65"/>
    </row>
    <row r="17" spans="2:38" x14ac:dyDescent="0.2">
      <c r="B17" s="58"/>
      <c r="C17" s="60"/>
      <c r="D17" s="60"/>
      <c r="E17" s="71"/>
      <c r="F17" s="60"/>
      <c r="G17" s="59" t="s">
        <v>20</v>
      </c>
      <c r="H17" s="60"/>
      <c r="I17" s="71"/>
      <c r="J17" s="61"/>
      <c r="L17" s="62"/>
      <c r="M17" s="63"/>
      <c r="AD17" s="64"/>
      <c r="AG17" s="72"/>
      <c r="AI17" s="51" t="s">
        <v>20</v>
      </c>
      <c r="AK17" s="72"/>
      <c r="AL17" s="65"/>
    </row>
    <row r="18" spans="2:38" x14ac:dyDescent="0.2">
      <c r="B18" s="58"/>
      <c r="C18" s="60"/>
      <c r="D18" s="60"/>
      <c r="E18" s="71"/>
      <c r="F18" s="60"/>
      <c r="G18" s="73" t="s">
        <v>21</v>
      </c>
      <c r="H18" s="74" t="s">
        <v>11</v>
      </c>
      <c r="I18" s="71"/>
      <c r="J18" s="61"/>
      <c r="L18" s="62"/>
      <c r="M18" s="63"/>
      <c r="AD18" s="64"/>
      <c r="AG18" s="72"/>
      <c r="AI18" s="75" t="s">
        <v>21</v>
      </c>
      <c r="AJ18" s="76" t="s">
        <v>11</v>
      </c>
      <c r="AK18" s="72"/>
      <c r="AL18" s="65"/>
    </row>
    <row r="19" spans="2:38" x14ac:dyDescent="0.2">
      <c r="B19" s="58"/>
      <c r="C19" s="60"/>
      <c r="D19" s="60"/>
      <c r="E19" s="71"/>
      <c r="F19" s="60"/>
      <c r="G19" s="115">
        <v>475</v>
      </c>
      <c r="H19" s="108">
        <v>325.95</v>
      </c>
      <c r="I19" s="71"/>
      <c r="J19" s="61"/>
      <c r="L19" s="62"/>
      <c r="M19" s="63"/>
      <c r="AD19" s="64"/>
      <c r="AG19" s="72"/>
      <c r="AI19" s="75">
        <v>475</v>
      </c>
      <c r="AJ19" s="78">
        <v>325.95</v>
      </c>
      <c r="AK19" s="72"/>
      <c r="AL19" s="65"/>
    </row>
    <row r="20" spans="2:38" x14ac:dyDescent="0.2">
      <c r="B20" s="58"/>
      <c r="C20" s="60"/>
      <c r="D20" s="60"/>
      <c r="E20" s="71"/>
      <c r="F20" s="60"/>
      <c r="G20" s="115">
        <v>476</v>
      </c>
      <c r="H20" s="117">
        <v>200</v>
      </c>
      <c r="I20" s="71"/>
      <c r="J20" s="61"/>
      <c r="L20" s="62"/>
      <c r="M20" s="63"/>
      <c r="AD20" s="64"/>
      <c r="AG20" s="72"/>
      <c r="AI20" s="75">
        <v>476</v>
      </c>
      <c r="AJ20" s="78">
        <v>200</v>
      </c>
      <c r="AK20" s="72"/>
      <c r="AL20" s="65"/>
    </row>
    <row r="21" spans="2:38" x14ac:dyDescent="0.2">
      <c r="B21" s="58"/>
      <c r="C21" s="60"/>
      <c r="D21" s="60"/>
      <c r="E21" s="71"/>
      <c r="F21" s="60"/>
      <c r="G21" s="115"/>
      <c r="H21" s="117"/>
      <c r="I21" s="71"/>
      <c r="J21" s="61"/>
      <c r="L21" s="62"/>
      <c r="M21" s="63"/>
      <c r="AD21" s="64"/>
      <c r="AG21" s="72"/>
      <c r="AI21" s="75"/>
      <c r="AJ21" s="79"/>
      <c r="AK21" s="72"/>
      <c r="AL21" s="65"/>
    </row>
    <row r="22" spans="2:38" x14ac:dyDescent="0.2">
      <c r="B22" s="58"/>
      <c r="C22" s="60"/>
      <c r="D22" s="60"/>
      <c r="E22" s="71"/>
      <c r="F22" s="60"/>
      <c r="G22" s="115"/>
      <c r="H22" s="117"/>
      <c r="I22" s="71"/>
      <c r="J22" s="61"/>
      <c r="L22" s="62"/>
      <c r="M22" s="63"/>
      <c r="AD22" s="64"/>
      <c r="AG22" s="72"/>
      <c r="AI22" s="75"/>
      <c r="AJ22" s="79"/>
      <c r="AK22" s="72"/>
      <c r="AL22" s="65"/>
    </row>
    <row r="23" spans="2:38" x14ac:dyDescent="0.2">
      <c r="B23" s="58"/>
      <c r="C23" s="60"/>
      <c r="D23" s="60"/>
      <c r="E23" s="71"/>
      <c r="F23" s="60"/>
      <c r="G23" s="115"/>
      <c r="H23" s="118"/>
      <c r="I23" s="71"/>
      <c r="J23" s="61"/>
      <c r="L23" s="62"/>
      <c r="M23" s="63"/>
      <c r="AD23" s="64"/>
      <c r="AG23" s="72"/>
      <c r="AI23" s="75"/>
      <c r="AJ23" s="79"/>
      <c r="AK23" s="72"/>
      <c r="AL23" s="65"/>
    </row>
    <row r="24" spans="2:38" x14ac:dyDescent="0.2">
      <c r="B24" s="58"/>
      <c r="C24" s="60"/>
      <c r="D24" s="60"/>
      <c r="E24" s="71"/>
      <c r="F24" s="60"/>
      <c r="G24" s="60" t="s">
        <v>22</v>
      </c>
      <c r="H24" s="60"/>
      <c r="I24" s="112">
        <f>H19+H20</f>
        <v>525.95000000000005</v>
      </c>
      <c r="J24" s="61"/>
      <c r="L24" s="62"/>
      <c r="M24" s="63"/>
      <c r="AD24" s="64"/>
      <c r="AG24" s="72"/>
      <c r="AI24" s="50" t="s">
        <v>22</v>
      </c>
      <c r="AK24" s="81">
        <f>+AJ19+AJ20</f>
        <v>525.95000000000005</v>
      </c>
      <c r="AL24" s="65"/>
    </row>
    <row r="25" spans="2:38" x14ac:dyDescent="0.2">
      <c r="B25" s="58"/>
      <c r="C25" s="60"/>
      <c r="D25" s="60"/>
      <c r="E25" s="71"/>
      <c r="F25" s="60"/>
      <c r="G25" s="60"/>
      <c r="H25" s="60"/>
      <c r="I25" s="71"/>
      <c r="J25" s="61"/>
      <c r="L25" s="62"/>
      <c r="M25" s="63"/>
      <c r="AD25" s="64"/>
      <c r="AG25" s="72"/>
      <c r="AK25" s="72"/>
      <c r="AL25" s="65"/>
    </row>
    <row r="26" spans="2:38" ht="13.5" thickBot="1" x14ac:dyDescent="0.25">
      <c r="B26" s="58"/>
      <c r="C26" s="60" t="s">
        <v>23</v>
      </c>
      <c r="D26" s="60"/>
      <c r="E26" s="110">
        <f>E9-E16</f>
        <v>2091.15</v>
      </c>
      <c r="F26" s="60"/>
      <c r="G26" s="60" t="s">
        <v>24</v>
      </c>
      <c r="H26" s="60"/>
      <c r="I26" s="111">
        <f>I15-I24</f>
        <v>2091.1499999999996</v>
      </c>
      <c r="J26" s="61"/>
      <c r="L26" s="62"/>
      <c r="M26" s="63"/>
      <c r="AD26" s="64"/>
      <c r="AE26" s="50" t="s">
        <v>23</v>
      </c>
      <c r="AG26" s="83">
        <f>+AG9-AG16</f>
        <v>2091.15</v>
      </c>
      <c r="AI26" s="50" t="s">
        <v>24</v>
      </c>
      <c r="AK26" s="83">
        <f>+AK15-AK24</f>
        <v>2091.1499999999996</v>
      </c>
      <c r="AL26" s="65"/>
    </row>
    <row r="27" spans="2:38" ht="13.5" thickTop="1" x14ac:dyDescent="0.2">
      <c r="B27" s="84"/>
      <c r="C27" s="85"/>
      <c r="D27" s="85"/>
      <c r="E27" s="85"/>
      <c r="F27" s="85"/>
      <c r="G27" s="85"/>
      <c r="H27" s="85"/>
      <c r="I27" s="85"/>
      <c r="J27" s="86"/>
      <c r="L27" s="62"/>
      <c r="M27" s="63"/>
      <c r="AD27" s="87"/>
      <c r="AE27" s="88"/>
      <c r="AF27" s="88"/>
      <c r="AG27" s="88"/>
      <c r="AH27" s="88"/>
      <c r="AI27" s="88"/>
      <c r="AJ27" s="88"/>
      <c r="AK27" s="88"/>
      <c r="AL27" s="89"/>
    </row>
    <row r="28" spans="2:38" x14ac:dyDescent="0.2">
      <c r="L28" s="62"/>
      <c r="M28" s="63"/>
    </row>
    <row r="29" spans="2:38" x14ac:dyDescent="0.2">
      <c r="L29" s="62"/>
      <c r="M29" s="63"/>
    </row>
    <row r="30" spans="2:38" x14ac:dyDescent="0.2">
      <c r="B30" s="47" t="s">
        <v>25</v>
      </c>
      <c r="L30" s="62"/>
      <c r="M30" s="63"/>
    </row>
    <row r="31" spans="2:38" x14ac:dyDescent="0.2">
      <c r="L31" s="62"/>
      <c r="M31" s="63"/>
    </row>
    <row r="32" spans="2:38" x14ac:dyDescent="0.2">
      <c r="L32" s="62"/>
      <c r="M32" s="63"/>
    </row>
    <row r="33" spans="4:41" x14ac:dyDescent="0.2">
      <c r="L33" s="62"/>
      <c r="M33" s="63"/>
    </row>
    <row r="34" spans="4:41" x14ac:dyDescent="0.2">
      <c r="L34" s="62"/>
      <c r="M34" s="63"/>
      <c r="AF34" s="90"/>
      <c r="AG34" s="90"/>
      <c r="AH34" s="90"/>
      <c r="AI34" s="90"/>
      <c r="AJ34" s="90"/>
      <c r="AK34" s="90"/>
      <c r="AL34" s="90"/>
      <c r="AM34" s="91"/>
      <c r="AN34" s="91"/>
      <c r="AO34" s="91"/>
    </row>
    <row r="35" spans="4:41" x14ac:dyDescent="0.2">
      <c r="L35" s="62"/>
      <c r="M35" s="63"/>
      <c r="AF35" s="90"/>
      <c r="AG35" s="90"/>
      <c r="AH35" s="90"/>
      <c r="AI35" s="90"/>
      <c r="AJ35" s="90"/>
      <c r="AK35" s="90"/>
      <c r="AL35" s="90"/>
      <c r="AM35" s="91"/>
      <c r="AN35" s="91"/>
      <c r="AO35" s="91"/>
    </row>
    <row r="36" spans="4:41" x14ac:dyDescent="0.2">
      <c r="L36" s="62"/>
      <c r="M36" s="63"/>
      <c r="AF36" s="90"/>
      <c r="AG36" s="90"/>
      <c r="AH36" s="90"/>
      <c r="AI36" s="90"/>
      <c r="AJ36" s="90"/>
      <c r="AK36" s="90"/>
      <c r="AL36" s="90"/>
      <c r="AM36" s="91"/>
      <c r="AN36" s="91"/>
      <c r="AO36" s="91"/>
    </row>
    <row r="37" spans="4:41" x14ac:dyDescent="0.2">
      <c r="L37" s="62"/>
      <c r="M37" s="63"/>
      <c r="AF37" s="90"/>
      <c r="AG37" s="90"/>
      <c r="AH37" s="90"/>
      <c r="AI37" s="90"/>
      <c r="AJ37" s="90"/>
      <c r="AK37" s="90"/>
      <c r="AL37" s="90"/>
      <c r="AM37" s="91"/>
      <c r="AN37" s="91"/>
      <c r="AO37" s="91"/>
    </row>
    <row r="38" spans="4:41" x14ac:dyDescent="0.2">
      <c r="D38" s="91"/>
      <c r="E38" s="91"/>
      <c r="F38" s="91"/>
      <c r="G38" s="91"/>
      <c r="H38" s="91"/>
      <c r="I38" s="91"/>
      <c r="J38" s="91"/>
      <c r="K38" s="91"/>
      <c r="L38" s="91"/>
      <c r="M38" s="91"/>
      <c r="AF38" s="90"/>
      <c r="AG38" s="90"/>
      <c r="AH38" s="90"/>
      <c r="AI38" s="90"/>
      <c r="AJ38" s="90"/>
      <c r="AK38" s="90"/>
      <c r="AL38" s="90"/>
      <c r="AM38" s="91"/>
      <c r="AN38" s="91"/>
      <c r="AO38" s="91"/>
    </row>
    <row r="39" spans="4:41" x14ac:dyDescent="0.2">
      <c r="D39" s="91"/>
      <c r="E39" s="91"/>
      <c r="F39" s="91"/>
      <c r="G39" s="91"/>
      <c r="H39" s="91"/>
      <c r="I39" s="91"/>
      <c r="J39" s="91"/>
      <c r="K39" s="91"/>
      <c r="L39" s="91"/>
      <c r="M39" s="91"/>
      <c r="AF39" s="90"/>
      <c r="AG39" s="90"/>
      <c r="AH39" s="90"/>
      <c r="AI39" s="90"/>
      <c r="AJ39" s="90"/>
      <c r="AK39" s="90"/>
      <c r="AL39" s="90"/>
      <c r="AM39" s="91"/>
      <c r="AN39" s="91"/>
      <c r="AO39" s="91"/>
    </row>
    <row r="40" spans="4:41" x14ac:dyDescent="0.2">
      <c r="D40" s="91"/>
      <c r="E40" s="91"/>
      <c r="F40" s="91"/>
      <c r="G40" s="91"/>
      <c r="H40" s="91"/>
      <c r="I40" s="91"/>
      <c r="J40" s="91"/>
      <c r="K40" s="91"/>
      <c r="L40" s="91"/>
      <c r="M40" s="91"/>
      <c r="AF40" s="90"/>
      <c r="AG40" s="90"/>
      <c r="AH40" s="90"/>
      <c r="AI40" s="90"/>
      <c r="AJ40" s="90"/>
      <c r="AK40" s="90"/>
      <c r="AL40" s="90"/>
      <c r="AM40" s="91"/>
      <c r="AN40" s="91"/>
      <c r="AO40" s="91"/>
    </row>
    <row r="41" spans="4:41" x14ac:dyDescent="0.2">
      <c r="D41" s="91"/>
      <c r="E41" s="91"/>
      <c r="F41" s="91"/>
      <c r="G41" s="91"/>
      <c r="H41" s="91"/>
      <c r="I41" s="91"/>
      <c r="J41" s="91"/>
      <c r="K41" s="91"/>
      <c r="L41" s="91"/>
      <c r="M41" s="91"/>
      <c r="AF41" s="90"/>
      <c r="AG41" s="90"/>
      <c r="AH41" s="90"/>
      <c r="AI41" s="90"/>
      <c r="AJ41" s="90"/>
      <c r="AK41" s="90"/>
      <c r="AL41" s="90"/>
      <c r="AM41" s="91"/>
      <c r="AN41" s="91"/>
      <c r="AO41" s="91"/>
    </row>
    <row r="42" spans="4:41" x14ac:dyDescent="0.2">
      <c r="D42" s="91"/>
      <c r="E42" s="91"/>
      <c r="F42" s="91"/>
      <c r="G42" s="91"/>
      <c r="H42" s="91"/>
      <c r="I42" s="91"/>
      <c r="J42" s="91"/>
      <c r="K42" s="91"/>
      <c r="L42" s="91"/>
      <c r="M42" s="91"/>
      <c r="AF42" s="90"/>
      <c r="AG42" s="90"/>
      <c r="AH42" s="90"/>
      <c r="AI42" s="90"/>
      <c r="AJ42" s="90"/>
      <c r="AK42" s="90"/>
      <c r="AL42" s="90"/>
      <c r="AM42" s="91"/>
      <c r="AN42" s="91"/>
      <c r="AO42" s="91"/>
    </row>
    <row r="43" spans="4:41" x14ac:dyDescent="0.2">
      <c r="D43" s="91"/>
      <c r="E43" s="91"/>
      <c r="F43" s="91"/>
      <c r="G43" s="91"/>
      <c r="H43" s="91"/>
      <c r="I43" s="91"/>
      <c r="J43" s="91"/>
      <c r="K43" s="91"/>
      <c r="L43" s="91"/>
      <c r="M43" s="91"/>
      <c r="AF43" s="90"/>
      <c r="AG43" s="90"/>
      <c r="AH43" s="90"/>
      <c r="AI43" s="90"/>
      <c r="AJ43" s="90"/>
      <c r="AK43" s="90"/>
      <c r="AL43" s="90"/>
      <c r="AM43" s="91"/>
      <c r="AN43" s="91"/>
      <c r="AO43" s="91"/>
    </row>
    <row r="44" spans="4:41" x14ac:dyDescent="0.2">
      <c r="D44" s="91"/>
      <c r="E44" s="91"/>
      <c r="F44" s="91"/>
      <c r="G44" s="91"/>
      <c r="H44" s="91"/>
      <c r="I44" s="91"/>
      <c r="J44" s="91"/>
      <c r="K44" s="91"/>
      <c r="L44" s="91"/>
      <c r="M44" s="91"/>
      <c r="AF44" s="90"/>
      <c r="AG44" s="90"/>
      <c r="AH44" s="90"/>
      <c r="AI44" s="90"/>
      <c r="AJ44" s="90"/>
      <c r="AK44" s="90"/>
      <c r="AL44" s="90"/>
      <c r="AM44" s="91"/>
      <c r="AN44" s="91"/>
      <c r="AO44" s="91"/>
    </row>
    <row r="45" spans="4:41" x14ac:dyDescent="0.2">
      <c r="D45" s="91"/>
      <c r="E45" s="91"/>
      <c r="F45" s="91"/>
      <c r="G45" s="91"/>
      <c r="H45" s="91"/>
      <c r="I45" s="91"/>
      <c r="J45" s="91"/>
      <c r="K45" s="91"/>
      <c r="L45" s="91"/>
      <c r="M45" s="91"/>
      <c r="AF45" s="90"/>
      <c r="AG45" s="90"/>
      <c r="AH45" s="90"/>
      <c r="AI45" s="90"/>
      <c r="AJ45" s="90"/>
      <c r="AK45" s="90"/>
      <c r="AL45" s="90"/>
      <c r="AM45" s="91"/>
      <c r="AN45" s="91"/>
      <c r="AO45" s="91"/>
    </row>
    <row r="46" spans="4:41" x14ac:dyDescent="0.2">
      <c r="D46" s="91"/>
      <c r="E46" s="91"/>
      <c r="F46" s="91"/>
      <c r="G46" s="91"/>
      <c r="H46" s="91"/>
      <c r="I46" s="91"/>
      <c r="J46" s="91"/>
      <c r="K46" s="91"/>
      <c r="L46" s="91"/>
      <c r="M46" s="91"/>
      <c r="AF46" s="90"/>
      <c r="AG46" s="90"/>
      <c r="AH46" s="90"/>
      <c r="AI46" s="90"/>
      <c r="AJ46" s="90"/>
      <c r="AK46" s="90"/>
      <c r="AL46" s="90"/>
      <c r="AM46" s="91"/>
      <c r="AN46" s="91"/>
      <c r="AO46" s="91"/>
    </row>
    <row r="47" spans="4:41" x14ac:dyDescent="0.2">
      <c r="D47" s="91"/>
      <c r="E47" s="91"/>
      <c r="F47" s="91"/>
      <c r="G47" s="91"/>
      <c r="H47" s="91"/>
      <c r="I47" s="91"/>
      <c r="J47" s="91"/>
      <c r="K47" s="91"/>
      <c r="L47" s="91"/>
      <c r="M47" s="91"/>
      <c r="AF47" s="90"/>
      <c r="AG47" s="90"/>
      <c r="AH47" s="90"/>
      <c r="AI47" s="90"/>
      <c r="AJ47" s="90"/>
      <c r="AK47" s="90"/>
      <c r="AL47" s="90"/>
      <c r="AM47" s="91"/>
      <c r="AN47" s="91"/>
      <c r="AO47" s="91"/>
    </row>
    <row r="48" spans="4:41" x14ac:dyDescent="0.2">
      <c r="D48" s="91"/>
      <c r="E48" s="91"/>
      <c r="F48" s="91"/>
      <c r="G48" s="91"/>
      <c r="H48" s="91"/>
      <c r="I48" s="91"/>
      <c r="J48" s="91"/>
      <c r="K48" s="91"/>
      <c r="L48" s="91"/>
      <c r="M48" s="91"/>
      <c r="AF48" s="90"/>
      <c r="AG48" s="90"/>
      <c r="AH48" s="90"/>
      <c r="AI48" s="90"/>
      <c r="AJ48" s="90"/>
      <c r="AK48" s="90"/>
      <c r="AL48" s="90"/>
      <c r="AM48" s="91"/>
      <c r="AN48" s="91"/>
      <c r="AO48" s="91"/>
    </row>
    <row r="49" spans="4:41" x14ac:dyDescent="0.2">
      <c r="D49" s="91"/>
      <c r="E49" s="91"/>
      <c r="F49" s="91"/>
      <c r="G49" s="91"/>
      <c r="H49" s="91"/>
      <c r="I49" s="91"/>
      <c r="J49" s="91"/>
      <c r="K49" s="91"/>
      <c r="L49" s="91"/>
      <c r="M49" s="91"/>
      <c r="AF49" s="90"/>
      <c r="AG49" s="90"/>
      <c r="AH49" s="90"/>
      <c r="AI49" s="90"/>
      <c r="AJ49" s="90"/>
      <c r="AK49" s="90"/>
      <c r="AL49" s="90"/>
      <c r="AM49" s="91"/>
      <c r="AN49" s="91"/>
      <c r="AO49" s="91"/>
    </row>
    <row r="50" spans="4:41" x14ac:dyDescent="0.2">
      <c r="D50" s="91"/>
      <c r="E50" s="91"/>
      <c r="F50" s="91"/>
      <c r="G50" s="91"/>
      <c r="H50" s="91"/>
      <c r="I50" s="91"/>
      <c r="J50" s="91"/>
      <c r="K50" s="91"/>
      <c r="L50" s="91"/>
      <c r="M50" s="91"/>
      <c r="AF50" s="90"/>
      <c r="AG50" s="90"/>
      <c r="AH50" s="90"/>
      <c r="AI50" s="90"/>
      <c r="AJ50" s="90"/>
      <c r="AK50" s="90"/>
      <c r="AL50" s="90"/>
      <c r="AM50" s="91"/>
      <c r="AN50" s="91"/>
      <c r="AO50" s="91"/>
    </row>
    <row r="51" spans="4:41" x14ac:dyDescent="0.2">
      <c r="D51" s="91"/>
      <c r="E51" s="91"/>
      <c r="F51" s="91"/>
      <c r="G51" s="91"/>
      <c r="H51" s="91"/>
      <c r="I51" s="91"/>
      <c r="J51" s="91"/>
      <c r="K51" s="91"/>
      <c r="L51" s="91"/>
      <c r="M51" s="91"/>
      <c r="AF51" s="90"/>
      <c r="AG51" s="90"/>
      <c r="AH51" s="90"/>
      <c r="AI51" s="90"/>
      <c r="AJ51" s="90"/>
      <c r="AK51" s="90"/>
      <c r="AL51" s="90"/>
      <c r="AM51" s="91"/>
      <c r="AN51" s="91"/>
      <c r="AO51" s="91"/>
    </row>
    <row r="52" spans="4:41" x14ac:dyDescent="0.2">
      <c r="D52" s="91"/>
      <c r="E52" s="91"/>
      <c r="F52" s="91"/>
      <c r="G52" s="91"/>
      <c r="H52" s="91"/>
      <c r="I52" s="91"/>
      <c r="J52" s="91"/>
      <c r="K52" s="91"/>
      <c r="L52" s="91"/>
      <c r="M52" s="91"/>
      <c r="AF52" s="90"/>
      <c r="AG52" s="90"/>
      <c r="AH52" s="90"/>
      <c r="AI52" s="90"/>
      <c r="AJ52" s="90"/>
      <c r="AK52" s="90"/>
      <c r="AL52" s="90"/>
      <c r="AM52" s="91"/>
      <c r="AN52" s="91"/>
      <c r="AO52" s="91"/>
    </row>
    <row r="53" spans="4:41" x14ac:dyDescent="0.2">
      <c r="D53" s="91"/>
      <c r="E53" s="91"/>
      <c r="F53" s="91"/>
      <c r="G53" s="91"/>
      <c r="H53" s="91"/>
      <c r="I53" s="91"/>
      <c r="J53" s="91"/>
      <c r="K53" s="91"/>
      <c r="L53" s="91"/>
      <c r="M53" s="91"/>
      <c r="AF53" s="90"/>
      <c r="AG53" s="90"/>
      <c r="AH53" s="90"/>
      <c r="AI53" s="90"/>
      <c r="AJ53" s="90"/>
      <c r="AK53" s="90"/>
      <c r="AL53" s="90"/>
      <c r="AM53" s="91"/>
      <c r="AN53" s="91"/>
      <c r="AO53" s="91"/>
    </row>
    <row r="54" spans="4:41" x14ac:dyDescent="0.2">
      <c r="D54" s="91"/>
      <c r="E54" s="91"/>
      <c r="F54" s="91"/>
      <c r="G54" s="91"/>
      <c r="H54" s="91"/>
      <c r="I54" s="91"/>
      <c r="J54" s="91"/>
      <c r="K54" s="91"/>
      <c r="L54" s="91"/>
      <c r="M54" s="91"/>
      <c r="AF54" s="90"/>
      <c r="AG54" s="90"/>
      <c r="AH54" s="90"/>
      <c r="AI54" s="90"/>
      <c r="AJ54" s="90"/>
      <c r="AK54" s="90"/>
      <c r="AL54" s="90"/>
      <c r="AM54" s="91"/>
      <c r="AN54" s="91"/>
      <c r="AO54" s="91"/>
    </row>
    <row r="55" spans="4:41" x14ac:dyDescent="0.2">
      <c r="D55" s="91"/>
      <c r="E55" s="91"/>
      <c r="F55" s="91"/>
      <c r="G55" s="91"/>
      <c r="H55" s="91"/>
      <c r="I55" s="91"/>
      <c r="J55" s="91"/>
      <c r="K55" s="91"/>
      <c r="L55" s="91"/>
      <c r="M55" s="91"/>
      <c r="AF55" s="90"/>
      <c r="AG55" s="90"/>
      <c r="AH55" s="90"/>
      <c r="AI55" s="90"/>
      <c r="AJ55" s="90"/>
      <c r="AK55" s="90"/>
      <c r="AL55" s="90"/>
      <c r="AM55" s="91"/>
      <c r="AN55" s="91"/>
      <c r="AO55" s="91"/>
    </row>
    <row r="56" spans="4:41" x14ac:dyDescent="0.2">
      <c r="D56" s="91"/>
      <c r="E56" s="91"/>
      <c r="F56" s="91"/>
      <c r="G56" s="91"/>
      <c r="H56" s="91"/>
      <c r="I56" s="91"/>
      <c r="J56" s="91"/>
      <c r="K56" s="91"/>
      <c r="L56" s="91"/>
      <c r="M56" s="91"/>
      <c r="AF56" s="90"/>
      <c r="AG56" s="90"/>
      <c r="AH56" s="90"/>
      <c r="AI56" s="90"/>
      <c r="AJ56" s="90"/>
      <c r="AK56" s="90"/>
      <c r="AL56" s="90"/>
      <c r="AM56" s="91"/>
      <c r="AN56" s="91"/>
      <c r="AO56" s="91"/>
    </row>
    <row r="57" spans="4:41" x14ac:dyDescent="0.2">
      <c r="D57" s="91"/>
      <c r="E57" s="91"/>
      <c r="F57" s="91"/>
      <c r="G57" s="91"/>
      <c r="H57" s="91"/>
      <c r="I57" s="91"/>
      <c r="J57" s="91"/>
      <c r="K57" s="91"/>
      <c r="L57" s="91"/>
      <c r="M57" s="91"/>
      <c r="AF57" s="90"/>
      <c r="AG57" s="90"/>
      <c r="AH57" s="90"/>
      <c r="AI57" s="90"/>
      <c r="AJ57" s="90"/>
      <c r="AK57" s="90"/>
      <c r="AL57" s="90"/>
      <c r="AM57" s="91"/>
      <c r="AN57" s="91"/>
      <c r="AO57" s="91"/>
    </row>
    <row r="58" spans="4:41" x14ac:dyDescent="0.2">
      <c r="D58" s="91"/>
      <c r="E58" s="91"/>
      <c r="F58" s="91"/>
      <c r="G58" s="91"/>
      <c r="H58" s="91"/>
      <c r="I58" s="91"/>
      <c r="J58" s="91"/>
      <c r="K58" s="91"/>
      <c r="L58" s="91"/>
      <c r="M58" s="91"/>
      <c r="AF58" s="90"/>
      <c r="AG58" s="90"/>
      <c r="AH58" s="90"/>
      <c r="AI58" s="90"/>
      <c r="AJ58" s="90"/>
      <c r="AK58" s="90"/>
      <c r="AL58" s="90"/>
      <c r="AM58" s="91"/>
      <c r="AN58" s="91"/>
      <c r="AO58" s="91"/>
    </row>
    <row r="59" spans="4:41" x14ac:dyDescent="0.2">
      <c r="D59" s="91"/>
      <c r="E59" s="91"/>
      <c r="F59" s="91"/>
      <c r="G59" s="91"/>
      <c r="H59" s="91"/>
      <c r="I59" s="91"/>
      <c r="J59" s="91"/>
      <c r="K59" s="91"/>
      <c r="L59" s="91"/>
      <c r="M59" s="91"/>
      <c r="AF59" s="90"/>
      <c r="AG59" s="90"/>
      <c r="AH59" s="90"/>
      <c r="AI59" s="90"/>
      <c r="AJ59" s="90"/>
      <c r="AK59" s="90"/>
      <c r="AL59" s="90"/>
      <c r="AM59" s="91"/>
      <c r="AN59" s="91"/>
      <c r="AO59" s="91"/>
    </row>
    <row r="60" spans="4:41" x14ac:dyDescent="0.2">
      <c r="D60" s="91"/>
      <c r="E60" s="91"/>
      <c r="F60" s="91"/>
      <c r="G60" s="91"/>
      <c r="H60" s="91"/>
      <c r="I60" s="91"/>
      <c r="J60" s="91"/>
      <c r="K60" s="91"/>
      <c r="L60" s="91"/>
      <c r="M60" s="91"/>
      <c r="AF60" s="90"/>
      <c r="AG60" s="90"/>
      <c r="AH60" s="90"/>
      <c r="AI60" s="90"/>
      <c r="AJ60" s="90"/>
      <c r="AK60" s="90"/>
      <c r="AL60" s="90"/>
      <c r="AM60" s="91"/>
      <c r="AN60" s="91"/>
      <c r="AO60" s="91"/>
    </row>
    <row r="61" spans="4:41" x14ac:dyDescent="0.2">
      <c r="D61" s="91"/>
      <c r="E61" s="91"/>
      <c r="F61" s="91"/>
      <c r="G61" s="91"/>
      <c r="H61" s="91"/>
      <c r="I61" s="91"/>
      <c r="J61" s="91"/>
      <c r="K61" s="91"/>
      <c r="L61" s="91"/>
      <c r="M61" s="91"/>
      <c r="AF61" s="90"/>
      <c r="AG61" s="90"/>
      <c r="AH61" s="90"/>
      <c r="AI61" s="90"/>
      <c r="AJ61" s="90"/>
      <c r="AK61" s="90"/>
      <c r="AL61" s="90"/>
      <c r="AM61" s="91"/>
      <c r="AN61" s="91"/>
      <c r="AO61" s="91"/>
    </row>
    <row r="62" spans="4:41" x14ac:dyDescent="0.2">
      <c r="D62" s="91"/>
      <c r="E62" s="91"/>
      <c r="F62" s="91"/>
      <c r="G62" s="91"/>
      <c r="H62" s="91"/>
      <c r="I62" s="91"/>
      <c r="J62" s="91"/>
      <c r="K62" s="91"/>
      <c r="L62" s="91"/>
      <c r="M62" s="91"/>
      <c r="AF62" s="90"/>
      <c r="AG62" s="90"/>
      <c r="AH62" s="90"/>
      <c r="AI62" s="90"/>
      <c r="AJ62" s="90"/>
      <c r="AK62" s="90"/>
      <c r="AL62" s="90"/>
      <c r="AM62" s="91"/>
      <c r="AN62" s="91"/>
      <c r="AO62" s="91"/>
    </row>
    <row r="63" spans="4:41" x14ac:dyDescent="0.2">
      <c r="D63" s="91"/>
      <c r="E63" s="91"/>
      <c r="F63" s="91"/>
      <c r="G63" s="91"/>
      <c r="H63" s="91"/>
      <c r="I63" s="91"/>
      <c r="J63" s="91"/>
      <c r="K63" s="91"/>
      <c r="L63" s="91"/>
      <c r="M63" s="91"/>
      <c r="AF63" s="90"/>
      <c r="AG63" s="90"/>
      <c r="AH63" s="90"/>
      <c r="AI63" s="90"/>
      <c r="AJ63" s="90"/>
      <c r="AK63" s="90"/>
      <c r="AL63" s="90"/>
      <c r="AM63" s="91"/>
      <c r="AN63" s="91"/>
      <c r="AO63" s="91"/>
    </row>
    <row r="64" spans="4:41" x14ac:dyDescent="0.2">
      <c r="D64" s="91"/>
      <c r="E64" s="91"/>
      <c r="F64" s="91"/>
      <c r="G64" s="91"/>
      <c r="H64" s="91"/>
      <c r="I64" s="91"/>
      <c r="J64" s="91"/>
      <c r="K64" s="91"/>
      <c r="L64" s="91"/>
      <c r="M64" s="91"/>
      <c r="AF64" s="90"/>
      <c r="AG64" s="90"/>
      <c r="AH64" s="90"/>
      <c r="AI64" s="90"/>
      <c r="AJ64" s="90"/>
      <c r="AK64" s="90"/>
      <c r="AL64" s="90"/>
      <c r="AM64" s="91"/>
      <c r="AN64" s="91"/>
      <c r="AO64" s="91"/>
    </row>
    <row r="65" spans="4:41" x14ac:dyDescent="0.2">
      <c r="D65" s="91"/>
      <c r="E65" s="91"/>
      <c r="F65" s="91"/>
      <c r="G65" s="91"/>
      <c r="H65" s="91"/>
      <c r="I65" s="91"/>
      <c r="J65" s="91"/>
      <c r="K65" s="91"/>
      <c r="L65" s="91"/>
      <c r="M65" s="91"/>
      <c r="AF65" s="90"/>
      <c r="AG65" s="90"/>
      <c r="AH65" s="90"/>
      <c r="AI65" s="90"/>
      <c r="AJ65" s="90"/>
      <c r="AK65" s="90"/>
      <c r="AL65" s="90"/>
      <c r="AM65" s="91"/>
      <c r="AN65" s="91"/>
      <c r="AO65" s="91"/>
    </row>
    <row r="66" spans="4:41" x14ac:dyDescent="0.2">
      <c r="D66" s="91"/>
      <c r="E66" s="91"/>
      <c r="F66" s="91"/>
      <c r="G66" s="91"/>
      <c r="H66" s="91"/>
      <c r="I66" s="91"/>
      <c r="J66" s="91"/>
      <c r="K66" s="91"/>
      <c r="L66" s="91"/>
      <c r="M66" s="91"/>
      <c r="AF66" s="90"/>
      <c r="AG66" s="90"/>
      <c r="AH66" s="90"/>
      <c r="AI66" s="90"/>
      <c r="AJ66" s="90"/>
      <c r="AK66" s="90"/>
      <c r="AL66" s="90"/>
      <c r="AM66" s="91"/>
      <c r="AN66" s="91"/>
      <c r="AO66" s="91"/>
    </row>
    <row r="67" spans="4:41" x14ac:dyDescent="0.2">
      <c r="D67" s="91"/>
      <c r="E67" s="91"/>
      <c r="F67" s="91"/>
      <c r="G67" s="91"/>
      <c r="H67" s="91"/>
      <c r="I67" s="91"/>
      <c r="J67" s="91"/>
      <c r="K67" s="91"/>
      <c r="L67" s="91"/>
      <c r="M67" s="91"/>
      <c r="AF67" s="90"/>
      <c r="AG67" s="90"/>
      <c r="AH67" s="90"/>
      <c r="AI67" s="90"/>
      <c r="AJ67" s="90"/>
      <c r="AK67" s="90"/>
      <c r="AL67" s="90"/>
      <c r="AM67" s="91"/>
      <c r="AN67" s="91"/>
      <c r="AO67" s="91"/>
    </row>
    <row r="68" spans="4:41" x14ac:dyDescent="0.2">
      <c r="D68" s="91"/>
      <c r="E68" s="91"/>
      <c r="F68" s="91"/>
      <c r="G68" s="91"/>
      <c r="H68" s="91"/>
      <c r="I68" s="91"/>
      <c r="J68" s="91"/>
      <c r="K68" s="91"/>
      <c r="L68" s="91"/>
      <c r="M68" s="91"/>
      <c r="AF68" s="90"/>
      <c r="AG68" s="90"/>
      <c r="AH68" s="90"/>
      <c r="AI68" s="90"/>
      <c r="AJ68" s="90"/>
      <c r="AK68" s="90"/>
      <c r="AL68" s="90"/>
      <c r="AM68" s="91"/>
      <c r="AN68" s="91"/>
      <c r="AO68" s="91"/>
    </row>
    <row r="69" spans="4:41" x14ac:dyDescent="0.2">
      <c r="D69" s="91"/>
      <c r="E69" s="91"/>
      <c r="F69" s="91"/>
      <c r="G69" s="91"/>
      <c r="H69" s="91"/>
      <c r="I69" s="91"/>
      <c r="J69" s="91"/>
      <c r="K69" s="91"/>
      <c r="L69" s="91"/>
      <c r="M69" s="91"/>
      <c r="AF69" s="90"/>
      <c r="AG69" s="90"/>
      <c r="AH69" s="90"/>
      <c r="AI69" s="90"/>
      <c r="AJ69" s="90"/>
      <c r="AK69" s="90"/>
      <c r="AL69" s="90"/>
      <c r="AM69" s="91"/>
      <c r="AN69" s="91"/>
      <c r="AO69" s="91"/>
    </row>
    <row r="70" spans="4:41" x14ac:dyDescent="0.2">
      <c r="D70" s="91"/>
      <c r="E70" s="91"/>
      <c r="F70" s="91"/>
      <c r="G70" s="91"/>
      <c r="H70" s="91"/>
      <c r="I70" s="91"/>
      <c r="J70" s="91"/>
      <c r="K70" s="91"/>
      <c r="L70" s="91"/>
      <c r="M70" s="91"/>
      <c r="AF70" s="90"/>
      <c r="AG70" s="90"/>
      <c r="AH70" s="90"/>
      <c r="AI70" s="90"/>
      <c r="AJ70" s="90"/>
      <c r="AK70" s="90"/>
      <c r="AL70" s="90"/>
      <c r="AM70" s="91"/>
      <c r="AN70" s="91"/>
      <c r="AO70" s="91"/>
    </row>
    <row r="71" spans="4:41" x14ac:dyDescent="0.2">
      <c r="D71" s="91"/>
      <c r="E71" s="91"/>
      <c r="F71" s="91"/>
      <c r="G71" s="91"/>
      <c r="H71" s="91"/>
      <c r="I71" s="91"/>
      <c r="J71" s="91"/>
      <c r="K71" s="91"/>
      <c r="L71" s="91"/>
      <c r="M71" s="91"/>
      <c r="AF71" s="90"/>
      <c r="AG71" s="90"/>
      <c r="AH71" s="90"/>
      <c r="AI71" s="90"/>
      <c r="AJ71" s="90"/>
      <c r="AK71" s="90"/>
      <c r="AL71" s="90"/>
      <c r="AM71" s="91"/>
      <c r="AN71" s="91"/>
      <c r="AO71" s="91"/>
    </row>
    <row r="72" spans="4:41" x14ac:dyDescent="0.2">
      <c r="D72" s="91"/>
      <c r="E72" s="91"/>
      <c r="F72" s="91"/>
      <c r="G72" s="91"/>
      <c r="H72" s="91"/>
      <c r="I72" s="91"/>
      <c r="J72" s="91"/>
      <c r="K72" s="91"/>
      <c r="L72" s="91"/>
      <c r="M72" s="91"/>
      <c r="AF72" s="90"/>
      <c r="AG72" s="90"/>
      <c r="AH72" s="90"/>
      <c r="AI72" s="90"/>
      <c r="AJ72" s="90"/>
      <c r="AK72" s="90"/>
      <c r="AL72" s="90"/>
      <c r="AM72" s="91"/>
      <c r="AN72" s="91"/>
      <c r="AO72" s="91"/>
    </row>
    <row r="73" spans="4:41" x14ac:dyDescent="0.2">
      <c r="D73" s="91"/>
      <c r="E73" s="91"/>
      <c r="F73" s="91"/>
      <c r="G73" s="91"/>
      <c r="H73" s="91"/>
      <c r="I73" s="91"/>
      <c r="J73" s="91"/>
      <c r="K73" s="91"/>
      <c r="L73" s="91"/>
      <c r="M73" s="91"/>
      <c r="AF73" s="90"/>
      <c r="AG73" s="90"/>
      <c r="AH73" s="90"/>
      <c r="AI73" s="90"/>
      <c r="AJ73" s="90"/>
      <c r="AK73" s="90"/>
      <c r="AL73" s="90"/>
      <c r="AM73" s="91"/>
      <c r="AN73" s="91"/>
      <c r="AO73" s="91"/>
    </row>
    <row r="74" spans="4:41" x14ac:dyDescent="0.2">
      <c r="D74" s="91"/>
      <c r="E74" s="91"/>
      <c r="F74" s="91"/>
      <c r="G74" s="91"/>
      <c r="H74" s="91"/>
      <c r="I74" s="91"/>
      <c r="J74" s="91"/>
      <c r="K74" s="91"/>
      <c r="L74" s="91"/>
      <c r="M74" s="91"/>
      <c r="AF74" s="90"/>
      <c r="AG74" s="90"/>
      <c r="AH74" s="90"/>
      <c r="AI74" s="90"/>
      <c r="AJ74" s="90"/>
      <c r="AK74" s="90"/>
      <c r="AL74" s="90"/>
      <c r="AM74" s="91"/>
      <c r="AN74" s="91"/>
      <c r="AO74" s="91"/>
    </row>
    <row r="75" spans="4:41" x14ac:dyDescent="0.2">
      <c r="D75" s="91"/>
      <c r="E75" s="91"/>
      <c r="F75" s="91"/>
      <c r="G75" s="91"/>
      <c r="H75" s="91"/>
      <c r="I75" s="91"/>
      <c r="J75" s="91"/>
      <c r="K75" s="91"/>
      <c r="L75" s="91"/>
      <c r="M75" s="91"/>
      <c r="AF75" s="90"/>
      <c r="AG75" s="90"/>
      <c r="AH75" s="90"/>
      <c r="AI75" s="90"/>
      <c r="AJ75" s="90"/>
      <c r="AK75" s="90"/>
      <c r="AL75" s="90"/>
      <c r="AM75" s="91"/>
      <c r="AN75" s="91"/>
      <c r="AO75" s="91"/>
    </row>
    <row r="76" spans="4:41" x14ac:dyDescent="0.2">
      <c r="D76" s="91"/>
      <c r="E76" s="91"/>
      <c r="F76" s="91"/>
      <c r="G76" s="91"/>
      <c r="H76" s="91"/>
      <c r="I76" s="91"/>
      <c r="J76" s="91"/>
      <c r="K76" s="91"/>
      <c r="L76" s="91"/>
      <c r="M76" s="91"/>
      <c r="AF76" s="90"/>
      <c r="AG76" s="90"/>
      <c r="AH76" s="90"/>
      <c r="AI76" s="90"/>
      <c r="AJ76" s="90"/>
      <c r="AK76" s="90"/>
      <c r="AL76" s="90"/>
      <c r="AM76" s="91"/>
      <c r="AN76" s="91"/>
      <c r="AO76" s="91"/>
    </row>
    <row r="77" spans="4:41" x14ac:dyDescent="0.2">
      <c r="D77" s="91"/>
      <c r="E77" s="91"/>
      <c r="F77" s="91"/>
      <c r="G77" s="91"/>
      <c r="H77" s="91"/>
      <c r="I77" s="91"/>
      <c r="J77" s="91"/>
      <c r="K77" s="91"/>
      <c r="L77" s="91"/>
      <c r="M77" s="91"/>
      <c r="AF77" s="90"/>
      <c r="AG77" s="90"/>
      <c r="AH77" s="90"/>
      <c r="AI77" s="90"/>
      <c r="AJ77" s="90"/>
      <c r="AK77" s="90"/>
      <c r="AL77" s="90"/>
      <c r="AM77" s="91"/>
      <c r="AN77" s="91"/>
      <c r="AO77" s="91"/>
    </row>
    <row r="78" spans="4:41" x14ac:dyDescent="0.2">
      <c r="D78" s="91"/>
      <c r="E78" s="91"/>
      <c r="F78" s="91"/>
      <c r="G78" s="91"/>
      <c r="H78" s="91"/>
      <c r="I78" s="91"/>
      <c r="J78" s="91"/>
      <c r="K78" s="91"/>
      <c r="L78" s="91"/>
      <c r="M78" s="91"/>
      <c r="AF78" s="90"/>
      <c r="AG78" s="90"/>
      <c r="AH78" s="90"/>
      <c r="AI78" s="90"/>
      <c r="AJ78" s="90"/>
      <c r="AK78" s="90"/>
      <c r="AL78" s="90"/>
      <c r="AM78" s="91"/>
      <c r="AN78" s="91"/>
      <c r="AO78" s="91"/>
    </row>
    <row r="79" spans="4:41" x14ac:dyDescent="0.2">
      <c r="D79" s="91"/>
      <c r="E79" s="91"/>
      <c r="F79" s="91"/>
      <c r="G79" s="91"/>
      <c r="H79" s="91"/>
      <c r="I79" s="91"/>
      <c r="J79" s="91"/>
      <c r="K79" s="91"/>
      <c r="L79" s="91"/>
      <c r="M79" s="91"/>
      <c r="AF79" s="90"/>
      <c r="AG79" s="90"/>
      <c r="AH79" s="90"/>
      <c r="AI79" s="90"/>
      <c r="AJ79" s="90"/>
      <c r="AK79" s="90"/>
      <c r="AL79" s="90"/>
      <c r="AM79" s="91"/>
      <c r="AN79" s="91"/>
      <c r="AO79" s="91"/>
    </row>
    <row r="80" spans="4:41" x14ac:dyDescent="0.2">
      <c r="D80" s="91"/>
      <c r="E80" s="91"/>
      <c r="F80" s="91"/>
      <c r="G80" s="91"/>
      <c r="H80" s="91"/>
      <c r="I80" s="91"/>
      <c r="J80" s="91"/>
      <c r="K80" s="91"/>
      <c r="L80" s="91"/>
      <c r="M80" s="91"/>
      <c r="AF80" s="90"/>
      <c r="AG80" s="90"/>
      <c r="AH80" s="90"/>
      <c r="AI80" s="90"/>
      <c r="AJ80" s="90"/>
      <c r="AK80" s="90"/>
      <c r="AL80" s="90"/>
      <c r="AM80" s="91"/>
      <c r="AN80" s="91"/>
      <c r="AO80" s="91"/>
    </row>
    <row r="81" spans="4:41" x14ac:dyDescent="0.2">
      <c r="D81" s="91"/>
      <c r="E81" s="91"/>
      <c r="F81" s="91"/>
      <c r="G81" s="91"/>
      <c r="H81" s="91"/>
      <c r="I81" s="91"/>
      <c r="J81" s="91"/>
      <c r="K81" s="91"/>
      <c r="L81" s="91"/>
      <c r="M81" s="91"/>
      <c r="AF81" s="90"/>
      <c r="AG81" s="90"/>
      <c r="AH81" s="90"/>
      <c r="AI81" s="90"/>
      <c r="AJ81" s="90"/>
      <c r="AK81" s="90"/>
      <c r="AL81" s="90"/>
      <c r="AM81" s="91"/>
      <c r="AN81" s="91"/>
      <c r="AO81" s="91"/>
    </row>
    <row r="82" spans="4:41" x14ac:dyDescent="0.2">
      <c r="D82" s="91"/>
      <c r="E82" s="91"/>
      <c r="F82" s="91"/>
      <c r="G82" s="91"/>
      <c r="H82" s="91"/>
      <c r="I82" s="91"/>
      <c r="J82" s="91"/>
      <c r="K82" s="91"/>
      <c r="L82" s="91"/>
      <c r="M82" s="91"/>
      <c r="AF82" s="90"/>
      <c r="AG82" s="90"/>
      <c r="AH82" s="90"/>
      <c r="AI82" s="90"/>
      <c r="AJ82" s="90"/>
      <c r="AK82" s="90"/>
      <c r="AL82" s="90"/>
      <c r="AM82" s="91"/>
      <c r="AN82" s="91"/>
      <c r="AO82" s="91"/>
    </row>
    <row r="83" spans="4:41" x14ac:dyDescent="0.2">
      <c r="D83" s="91"/>
      <c r="E83" s="91"/>
      <c r="F83" s="91"/>
      <c r="G83" s="91"/>
      <c r="H83" s="91"/>
      <c r="I83" s="91"/>
      <c r="J83" s="91"/>
      <c r="K83" s="91"/>
      <c r="L83" s="91"/>
      <c r="M83" s="91"/>
      <c r="AF83" s="90"/>
      <c r="AG83" s="90"/>
      <c r="AH83" s="90"/>
      <c r="AI83" s="90"/>
      <c r="AJ83" s="90"/>
      <c r="AK83" s="90"/>
      <c r="AL83" s="90"/>
      <c r="AM83" s="91"/>
      <c r="AN83" s="91"/>
      <c r="AO83" s="91"/>
    </row>
    <row r="84" spans="4:41" x14ac:dyDescent="0.2">
      <c r="D84" s="91"/>
      <c r="E84" s="91"/>
      <c r="F84" s="91"/>
      <c r="G84" s="91"/>
      <c r="H84" s="91"/>
      <c r="I84" s="91"/>
      <c r="J84" s="91"/>
      <c r="K84" s="91"/>
      <c r="L84" s="91"/>
      <c r="M84" s="91"/>
      <c r="AF84" s="90"/>
      <c r="AG84" s="90"/>
      <c r="AH84" s="90"/>
      <c r="AI84" s="90"/>
      <c r="AJ84" s="90"/>
      <c r="AK84" s="90"/>
      <c r="AL84" s="90"/>
      <c r="AM84" s="91"/>
      <c r="AN84" s="91"/>
      <c r="AO84" s="91"/>
    </row>
    <row r="85" spans="4:41" x14ac:dyDescent="0.2">
      <c r="D85" s="91"/>
      <c r="E85" s="91"/>
      <c r="F85" s="91"/>
      <c r="G85" s="91"/>
      <c r="H85" s="91"/>
      <c r="I85" s="91"/>
      <c r="J85" s="91"/>
      <c r="K85" s="91"/>
      <c r="L85" s="91"/>
      <c r="M85" s="91"/>
      <c r="AF85" s="90"/>
      <c r="AG85" s="90"/>
      <c r="AH85" s="90"/>
      <c r="AI85" s="90"/>
      <c r="AJ85" s="90"/>
      <c r="AK85" s="90"/>
      <c r="AL85" s="90"/>
      <c r="AM85" s="91"/>
      <c r="AN85" s="91"/>
      <c r="AO85" s="91"/>
    </row>
    <row r="86" spans="4:41" x14ac:dyDescent="0.2">
      <c r="D86" s="91"/>
      <c r="E86" s="91"/>
      <c r="F86" s="91"/>
      <c r="G86" s="91"/>
      <c r="H86" s="91"/>
      <c r="I86" s="91"/>
      <c r="J86" s="91"/>
      <c r="K86" s="91"/>
      <c r="L86" s="91"/>
      <c r="M86" s="91"/>
      <c r="AF86" s="90"/>
      <c r="AG86" s="90"/>
      <c r="AH86" s="90"/>
      <c r="AI86" s="90"/>
      <c r="AJ86" s="90"/>
      <c r="AK86" s="90"/>
      <c r="AL86" s="90"/>
      <c r="AM86" s="91"/>
      <c r="AN86" s="91"/>
      <c r="AO86" s="91"/>
    </row>
    <row r="87" spans="4:41" x14ac:dyDescent="0.2">
      <c r="D87" s="91"/>
      <c r="E87" s="91"/>
      <c r="F87" s="91"/>
      <c r="G87" s="91"/>
      <c r="H87" s="91"/>
      <c r="I87" s="91"/>
      <c r="J87" s="91"/>
      <c r="K87" s="91"/>
      <c r="L87" s="91"/>
      <c r="M87" s="91"/>
      <c r="AF87" s="90"/>
      <c r="AG87" s="90"/>
      <c r="AH87" s="90"/>
      <c r="AI87" s="90"/>
      <c r="AJ87" s="90"/>
      <c r="AK87" s="90"/>
      <c r="AL87" s="90"/>
      <c r="AM87" s="91"/>
      <c r="AN87" s="91"/>
      <c r="AO87" s="91"/>
    </row>
    <row r="88" spans="4:41" x14ac:dyDescent="0.2">
      <c r="D88" s="91"/>
      <c r="E88" s="91"/>
      <c r="F88" s="91"/>
      <c r="G88" s="91"/>
      <c r="H88" s="91"/>
      <c r="I88" s="91"/>
      <c r="J88" s="91"/>
      <c r="K88" s="91"/>
      <c r="L88" s="91"/>
      <c r="M88" s="91"/>
      <c r="AF88" s="90"/>
      <c r="AG88" s="90"/>
      <c r="AH88" s="90"/>
      <c r="AI88" s="90"/>
      <c r="AJ88" s="90"/>
      <c r="AK88" s="90"/>
      <c r="AL88" s="90"/>
      <c r="AM88" s="91"/>
      <c r="AN88" s="91"/>
      <c r="AO88" s="91"/>
    </row>
    <row r="89" spans="4:41" x14ac:dyDescent="0.2">
      <c r="D89" s="91"/>
      <c r="E89" s="91"/>
      <c r="F89" s="91"/>
      <c r="G89" s="91"/>
      <c r="H89" s="91"/>
      <c r="I89" s="91"/>
      <c r="J89" s="91"/>
      <c r="K89" s="91"/>
      <c r="L89" s="91"/>
      <c r="M89" s="91"/>
      <c r="AF89" s="90"/>
      <c r="AG89" s="90"/>
      <c r="AH89" s="90"/>
      <c r="AI89" s="90"/>
      <c r="AJ89" s="90"/>
      <c r="AK89" s="90"/>
      <c r="AL89" s="90"/>
      <c r="AM89" s="91"/>
      <c r="AN89" s="91"/>
      <c r="AO89" s="91"/>
    </row>
    <row r="90" spans="4:41" x14ac:dyDescent="0.2">
      <c r="D90" s="91"/>
      <c r="E90" s="91"/>
      <c r="F90" s="91"/>
      <c r="G90" s="91"/>
      <c r="H90" s="91"/>
      <c r="I90" s="91"/>
      <c r="J90" s="91"/>
      <c r="K90" s="91"/>
      <c r="L90" s="91"/>
      <c r="M90" s="91"/>
      <c r="AF90" s="90"/>
      <c r="AG90" s="90"/>
      <c r="AH90" s="90"/>
      <c r="AI90" s="90"/>
      <c r="AJ90" s="90"/>
      <c r="AK90" s="90"/>
      <c r="AL90" s="90"/>
      <c r="AM90" s="91"/>
      <c r="AN90" s="91"/>
      <c r="AO90" s="91"/>
    </row>
    <row r="91" spans="4:41" x14ac:dyDescent="0.2">
      <c r="D91" s="91"/>
      <c r="E91" s="91"/>
      <c r="F91" s="91"/>
      <c r="G91" s="91"/>
      <c r="H91" s="91"/>
      <c r="I91" s="91"/>
      <c r="J91" s="91"/>
      <c r="K91" s="91"/>
      <c r="L91" s="91"/>
      <c r="M91" s="91"/>
      <c r="AF91" s="90"/>
      <c r="AG91" s="90"/>
      <c r="AH91" s="90"/>
      <c r="AI91" s="90"/>
      <c r="AJ91" s="90"/>
      <c r="AK91" s="90"/>
      <c r="AL91" s="90"/>
      <c r="AM91" s="91"/>
      <c r="AN91" s="91"/>
      <c r="AO91" s="91"/>
    </row>
    <row r="92" spans="4:41" x14ac:dyDescent="0.2">
      <c r="D92" s="91"/>
      <c r="E92" s="91"/>
      <c r="F92" s="91"/>
      <c r="G92" s="91"/>
      <c r="H92" s="91"/>
      <c r="I92" s="91"/>
      <c r="J92" s="91"/>
      <c r="K92" s="91"/>
      <c r="L92" s="91"/>
      <c r="M92" s="91"/>
      <c r="AF92" s="90"/>
      <c r="AG92" s="90"/>
      <c r="AH92" s="90"/>
      <c r="AI92" s="90"/>
      <c r="AJ92" s="90"/>
      <c r="AK92" s="90"/>
      <c r="AL92" s="90"/>
      <c r="AM92" s="91"/>
      <c r="AN92" s="91"/>
      <c r="AO92" s="91"/>
    </row>
    <row r="93" spans="4:41" x14ac:dyDescent="0.2">
      <c r="D93" s="91"/>
      <c r="E93" s="91"/>
      <c r="F93" s="91"/>
      <c r="G93" s="91"/>
      <c r="H93" s="91"/>
      <c r="I93" s="91"/>
      <c r="J93" s="91"/>
      <c r="K93" s="91"/>
      <c r="L93" s="91"/>
      <c r="M93" s="91"/>
      <c r="AF93" s="90"/>
      <c r="AG93" s="90"/>
      <c r="AH93" s="90"/>
      <c r="AI93" s="90"/>
      <c r="AJ93" s="90"/>
      <c r="AK93" s="90"/>
      <c r="AL93" s="90"/>
      <c r="AM93" s="91"/>
      <c r="AN93" s="91"/>
      <c r="AO93" s="91"/>
    </row>
    <row r="94" spans="4:41" x14ac:dyDescent="0.2">
      <c r="D94" s="91"/>
      <c r="E94" s="91"/>
      <c r="F94" s="91"/>
      <c r="G94" s="91"/>
      <c r="H94" s="91"/>
      <c r="I94" s="91"/>
      <c r="J94" s="91"/>
      <c r="K94" s="91"/>
      <c r="L94" s="91"/>
      <c r="M94" s="91"/>
      <c r="AF94" s="90"/>
      <c r="AG94" s="90"/>
      <c r="AH94" s="90"/>
      <c r="AI94" s="90"/>
      <c r="AJ94" s="90"/>
      <c r="AK94" s="90"/>
      <c r="AL94" s="90"/>
      <c r="AM94" s="91"/>
      <c r="AN94" s="91"/>
      <c r="AO94" s="91"/>
    </row>
    <row r="95" spans="4:41" x14ac:dyDescent="0.2">
      <c r="D95" s="91"/>
      <c r="E95" s="91"/>
      <c r="F95" s="91"/>
      <c r="G95" s="91"/>
      <c r="H95" s="91"/>
      <c r="I95" s="91"/>
      <c r="J95" s="91"/>
      <c r="K95" s="91"/>
      <c r="L95" s="91"/>
      <c r="M95" s="91"/>
      <c r="AF95" s="90"/>
      <c r="AG95" s="90"/>
      <c r="AH95" s="90"/>
      <c r="AI95" s="90"/>
      <c r="AJ95" s="90"/>
      <c r="AK95" s="90"/>
      <c r="AL95" s="90"/>
      <c r="AM95" s="91"/>
      <c r="AN95" s="91"/>
      <c r="AO95" s="91"/>
    </row>
    <row r="96" spans="4:41" x14ac:dyDescent="0.2">
      <c r="D96" s="91"/>
      <c r="E96" s="91"/>
      <c r="F96" s="91"/>
      <c r="G96" s="91"/>
      <c r="H96" s="91"/>
      <c r="I96" s="91"/>
      <c r="J96" s="91"/>
      <c r="K96" s="91"/>
      <c r="L96" s="91"/>
      <c r="M96" s="91"/>
      <c r="AE96" s="90">
        <f t="shared" ref="AE96:AO111" si="0">IF(AE6=C6,0,1)</f>
        <v>0</v>
      </c>
      <c r="AF96" s="90">
        <f t="shared" si="0"/>
        <v>0</v>
      </c>
      <c r="AG96" s="90">
        <f t="shared" si="0"/>
        <v>0</v>
      </c>
      <c r="AH96" s="90">
        <f t="shared" si="0"/>
        <v>0</v>
      </c>
      <c r="AI96" s="90">
        <f t="shared" si="0"/>
        <v>0</v>
      </c>
      <c r="AJ96" s="90">
        <f t="shared" si="0"/>
        <v>0</v>
      </c>
      <c r="AK96" s="90">
        <f t="shared" si="0"/>
        <v>0</v>
      </c>
      <c r="AL96" s="90">
        <f t="shared" si="0"/>
        <v>0</v>
      </c>
      <c r="AM96" s="91">
        <f t="shared" si="0"/>
        <v>0</v>
      </c>
      <c r="AN96" s="91">
        <f t="shared" si="0"/>
        <v>0</v>
      </c>
      <c r="AO96" s="91">
        <f t="shared" si="0"/>
        <v>0</v>
      </c>
    </row>
    <row r="97" spans="4:41" x14ac:dyDescent="0.2">
      <c r="D97" s="91"/>
      <c r="E97" s="91"/>
      <c r="F97" s="91"/>
      <c r="G97" s="91"/>
      <c r="H97" s="91"/>
      <c r="I97" s="91"/>
      <c r="J97" s="91"/>
      <c r="K97" s="91"/>
      <c r="L97" s="91"/>
      <c r="M97" s="91"/>
      <c r="AE97" s="90">
        <f t="shared" si="0"/>
        <v>0</v>
      </c>
      <c r="AF97" s="90">
        <f t="shared" si="0"/>
        <v>0</v>
      </c>
      <c r="AG97" s="90">
        <f t="shared" si="0"/>
        <v>0</v>
      </c>
      <c r="AH97" s="90">
        <f t="shared" si="0"/>
        <v>0</v>
      </c>
      <c r="AI97" s="90">
        <f t="shared" si="0"/>
        <v>0</v>
      </c>
      <c r="AJ97" s="90">
        <f t="shared" si="0"/>
        <v>0</v>
      </c>
      <c r="AK97" s="90">
        <f t="shared" si="0"/>
        <v>0</v>
      </c>
      <c r="AL97" s="90">
        <f t="shared" si="0"/>
        <v>0</v>
      </c>
      <c r="AM97" s="91">
        <f t="shared" si="0"/>
        <v>0</v>
      </c>
      <c r="AN97" s="91">
        <f t="shared" si="0"/>
        <v>0</v>
      </c>
      <c r="AO97" s="91">
        <f t="shared" si="0"/>
        <v>0</v>
      </c>
    </row>
    <row r="98" spans="4:41" x14ac:dyDescent="0.2">
      <c r="D98" s="91"/>
      <c r="E98" s="91"/>
      <c r="F98" s="91"/>
      <c r="G98" s="91"/>
      <c r="H98" s="91"/>
      <c r="I98" s="91"/>
      <c r="J98" s="91"/>
      <c r="K98" s="91"/>
      <c r="L98" s="91"/>
      <c r="M98" s="91"/>
      <c r="AE98" s="90">
        <f t="shared" si="0"/>
        <v>0</v>
      </c>
      <c r="AF98" s="90">
        <f t="shared" si="0"/>
        <v>0</v>
      </c>
      <c r="AG98" s="90">
        <f t="shared" si="0"/>
        <v>0</v>
      </c>
      <c r="AH98" s="90">
        <f t="shared" si="0"/>
        <v>0</v>
      </c>
      <c r="AI98" s="90">
        <f t="shared" si="0"/>
        <v>0</v>
      </c>
      <c r="AJ98" s="90">
        <f t="shared" si="0"/>
        <v>0</v>
      </c>
      <c r="AK98" s="90">
        <f t="shared" si="0"/>
        <v>0</v>
      </c>
      <c r="AL98" s="90">
        <f t="shared" si="0"/>
        <v>0</v>
      </c>
      <c r="AM98" s="91">
        <f t="shared" si="0"/>
        <v>0</v>
      </c>
      <c r="AN98" s="91">
        <f t="shared" si="0"/>
        <v>0</v>
      </c>
      <c r="AO98" s="91">
        <f t="shared" si="0"/>
        <v>0</v>
      </c>
    </row>
    <row r="99" spans="4:41" x14ac:dyDescent="0.2">
      <c r="D99" s="91"/>
      <c r="E99" s="91"/>
      <c r="F99" s="91"/>
      <c r="G99" s="91"/>
      <c r="H99" s="91"/>
      <c r="I99" s="91"/>
      <c r="J99" s="91"/>
      <c r="K99" s="91"/>
      <c r="L99" s="91"/>
      <c r="M99" s="91"/>
      <c r="AE99" s="90">
        <f t="shared" si="0"/>
        <v>0</v>
      </c>
      <c r="AF99" s="90">
        <f t="shared" si="0"/>
        <v>0</v>
      </c>
      <c r="AG99" s="90">
        <f t="shared" si="0"/>
        <v>0</v>
      </c>
      <c r="AH99" s="90">
        <f t="shared" si="0"/>
        <v>0</v>
      </c>
      <c r="AI99" s="90">
        <f t="shared" si="0"/>
        <v>0</v>
      </c>
      <c r="AJ99" s="90">
        <f t="shared" si="0"/>
        <v>0</v>
      </c>
      <c r="AK99" s="90">
        <f t="shared" si="0"/>
        <v>0</v>
      </c>
      <c r="AL99" s="90">
        <f t="shared" si="0"/>
        <v>0</v>
      </c>
      <c r="AM99" s="91">
        <f t="shared" si="0"/>
        <v>0</v>
      </c>
      <c r="AN99" s="91">
        <f t="shared" si="0"/>
        <v>0</v>
      </c>
      <c r="AO99" s="91">
        <f t="shared" si="0"/>
        <v>0</v>
      </c>
    </row>
    <row r="100" spans="4:41" x14ac:dyDescent="0.2">
      <c r="D100" s="91"/>
      <c r="E100" s="91"/>
      <c r="F100" s="91"/>
      <c r="G100" s="91"/>
      <c r="H100" s="91"/>
      <c r="I100" s="91"/>
      <c r="J100" s="91"/>
      <c r="K100" s="91"/>
      <c r="L100" s="91"/>
      <c r="M100" s="91"/>
      <c r="AE100" s="90">
        <f t="shared" si="0"/>
        <v>0</v>
      </c>
      <c r="AF100" s="90">
        <f t="shared" si="0"/>
        <v>0</v>
      </c>
      <c r="AG100" s="90">
        <f t="shared" si="0"/>
        <v>0</v>
      </c>
      <c r="AH100" s="90">
        <f t="shared" si="0"/>
        <v>0</v>
      </c>
      <c r="AI100" s="90">
        <f t="shared" si="0"/>
        <v>0</v>
      </c>
      <c r="AJ100" s="90">
        <f t="shared" si="0"/>
        <v>0</v>
      </c>
      <c r="AK100" s="90">
        <f t="shared" si="0"/>
        <v>0</v>
      </c>
      <c r="AL100" s="90">
        <f t="shared" si="0"/>
        <v>0</v>
      </c>
      <c r="AM100" s="91">
        <f t="shared" si="0"/>
        <v>0</v>
      </c>
      <c r="AN100" s="91">
        <f t="shared" si="0"/>
        <v>0</v>
      </c>
      <c r="AO100" s="91">
        <f t="shared" si="0"/>
        <v>0</v>
      </c>
    </row>
    <row r="101" spans="4:41" x14ac:dyDescent="0.2">
      <c r="D101" s="91"/>
      <c r="E101" s="91"/>
      <c r="F101" s="91"/>
      <c r="G101" s="91"/>
      <c r="H101" s="91"/>
      <c r="I101" s="91"/>
      <c r="J101" s="91"/>
      <c r="K101" s="91"/>
      <c r="L101" s="91"/>
      <c r="M101" s="91"/>
      <c r="AE101" s="90">
        <f>IF(AE11=C11,0,1)</f>
        <v>0</v>
      </c>
      <c r="AF101" s="90">
        <f t="shared" si="0"/>
        <v>0</v>
      </c>
      <c r="AG101" s="90">
        <f t="shared" si="0"/>
        <v>0</v>
      </c>
      <c r="AH101" s="90">
        <f t="shared" si="0"/>
        <v>0</v>
      </c>
      <c r="AI101" s="90">
        <f t="shared" si="0"/>
        <v>0</v>
      </c>
      <c r="AJ101" s="90">
        <f t="shared" si="0"/>
        <v>0</v>
      </c>
      <c r="AK101" s="90">
        <f t="shared" si="0"/>
        <v>0</v>
      </c>
      <c r="AL101" s="90">
        <f t="shared" si="0"/>
        <v>0</v>
      </c>
      <c r="AM101" s="91">
        <f t="shared" si="0"/>
        <v>0</v>
      </c>
      <c r="AN101" s="91">
        <f t="shared" si="0"/>
        <v>0</v>
      </c>
      <c r="AO101" s="91">
        <f t="shared" si="0"/>
        <v>0</v>
      </c>
    </row>
    <row r="102" spans="4:41" x14ac:dyDescent="0.2">
      <c r="D102" s="91"/>
      <c r="E102" s="91"/>
      <c r="F102" s="91"/>
      <c r="G102" s="91"/>
      <c r="H102" s="91"/>
      <c r="I102" s="91"/>
      <c r="J102" s="91"/>
      <c r="K102" s="91"/>
      <c r="L102" s="91"/>
      <c r="M102" s="91"/>
      <c r="AE102" s="90">
        <f>IF(AE12=C12,0,1)</f>
        <v>0</v>
      </c>
      <c r="AF102" s="90">
        <f t="shared" si="0"/>
        <v>0</v>
      </c>
      <c r="AG102" s="90">
        <f t="shared" si="0"/>
        <v>0</v>
      </c>
      <c r="AH102" s="90">
        <f t="shared" si="0"/>
        <v>0</v>
      </c>
      <c r="AI102" s="90">
        <f t="shared" si="0"/>
        <v>0</v>
      </c>
      <c r="AJ102" s="90">
        <f t="shared" si="0"/>
        <v>0</v>
      </c>
      <c r="AK102" s="90">
        <f t="shared" si="0"/>
        <v>0</v>
      </c>
      <c r="AL102" s="90">
        <f t="shared" si="0"/>
        <v>0</v>
      </c>
      <c r="AM102" s="91">
        <f t="shared" si="0"/>
        <v>0</v>
      </c>
      <c r="AN102" s="91">
        <f t="shared" si="0"/>
        <v>0</v>
      </c>
      <c r="AO102" s="91">
        <f t="shared" si="0"/>
        <v>0</v>
      </c>
    </row>
    <row r="103" spans="4:41" x14ac:dyDescent="0.2">
      <c r="D103" s="91"/>
      <c r="E103" s="91"/>
      <c r="F103" s="91"/>
      <c r="G103" s="91"/>
      <c r="H103" s="91"/>
      <c r="I103" s="91"/>
      <c r="J103" s="91"/>
      <c r="K103" s="91"/>
      <c r="L103" s="91"/>
      <c r="M103" s="91"/>
      <c r="AE103" s="90">
        <f>IF(AE13=C13,0,1)</f>
        <v>0</v>
      </c>
      <c r="AF103" s="90">
        <f t="shared" si="0"/>
        <v>0</v>
      </c>
      <c r="AG103" s="90">
        <f t="shared" si="0"/>
        <v>0</v>
      </c>
      <c r="AH103" s="90">
        <f t="shared" si="0"/>
        <v>0</v>
      </c>
      <c r="AI103" s="90">
        <f t="shared" si="0"/>
        <v>0</v>
      </c>
      <c r="AJ103" s="90">
        <f t="shared" si="0"/>
        <v>0</v>
      </c>
      <c r="AK103" s="90">
        <f t="shared" si="0"/>
        <v>0</v>
      </c>
      <c r="AL103" s="90">
        <f t="shared" si="0"/>
        <v>0</v>
      </c>
      <c r="AM103" s="91">
        <f t="shared" si="0"/>
        <v>0</v>
      </c>
      <c r="AN103" s="91">
        <f t="shared" si="0"/>
        <v>0</v>
      </c>
      <c r="AO103" s="91">
        <f t="shared" si="0"/>
        <v>0</v>
      </c>
    </row>
    <row r="104" spans="4:41" x14ac:dyDescent="0.2">
      <c r="D104" s="91"/>
      <c r="E104" s="91"/>
      <c r="F104" s="91"/>
      <c r="G104" s="91"/>
      <c r="H104" s="91"/>
      <c r="I104" s="91"/>
      <c r="J104" s="91"/>
      <c r="K104" s="91"/>
      <c r="L104" s="91"/>
      <c r="M104" s="91"/>
      <c r="AE104" s="90">
        <f>IF(AE14=C14,0,1)</f>
        <v>0</v>
      </c>
      <c r="AF104" s="90">
        <f t="shared" si="0"/>
        <v>0</v>
      </c>
      <c r="AG104" s="90">
        <f t="shared" si="0"/>
        <v>0</v>
      </c>
      <c r="AH104" s="90">
        <f t="shared" si="0"/>
        <v>0</v>
      </c>
      <c r="AI104" s="90">
        <f t="shared" si="0"/>
        <v>0</v>
      </c>
      <c r="AJ104" s="90">
        <f t="shared" si="0"/>
        <v>0</v>
      </c>
      <c r="AK104" s="90">
        <f t="shared" si="0"/>
        <v>0</v>
      </c>
      <c r="AL104" s="90">
        <f t="shared" si="0"/>
        <v>0</v>
      </c>
      <c r="AM104" s="91">
        <f t="shared" si="0"/>
        <v>0</v>
      </c>
      <c r="AN104" s="91">
        <f t="shared" si="0"/>
        <v>0</v>
      </c>
      <c r="AO104" s="91">
        <f t="shared" si="0"/>
        <v>0</v>
      </c>
    </row>
    <row r="105" spans="4:41" x14ac:dyDescent="0.2">
      <c r="D105" s="91"/>
      <c r="E105" s="91"/>
      <c r="F105" s="91"/>
      <c r="G105" s="91"/>
      <c r="H105" s="91"/>
      <c r="I105" s="91"/>
      <c r="J105" s="91"/>
      <c r="K105" s="91"/>
      <c r="L105" s="91"/>
      <c r="M105" s="91"/>
      <c r="AE105" s="90">
        <f t="shared" ref="AE105:AO117" si="1">IF(AE15=C15,0,1)</f>
        <v>0</v>
      </c>
      <c r="AF105" s="90">
        <f t="shared" si="0"/>
        <v>0</v>
      </c>
      <c r="AG105" s="90">
        <f t="shared" si="0"/>
        <v>0</v>
      </c>
      <c r="AH105" s="90">
        <f t="shared" si="0"/>
        <v>0</v>
      </c>
      <c r="AI105" s="90">
        <f t="shared" si="0"/>
        <v>0</v>
      </c>
      <c r="AJ105" s="90">
        <f t="shared" si="0"/>
        <v>0</v>
      </c>
      <c r="AK105" s="90">
        <f t="shared" si="0"/>
        <v>0</v>
      </c>
      <c r="AL105" s="90">
        <f t="shared" si="0"/>
        <v>0</v>
      </c>
      <c r="AM105" s="91">
        <f t="shared" si="0"/>
        <v>0</v>
      </c>
      <c r="AN105" s="91">
        <f t="shared" si="0"/>
        <v>0</v>
      </c>
      <c r="AO105" s="91">
        <f t="shared" si="0"/>
        <v>0</v>
      </c>
    </row>
    <row r="106" spans="4:41" x14ac:dyDescent="0.2">
      <c r="D106" s="91"/>
      <c r="E106" s="91"/>
      <c r="F106" s="91"/>
      <c r="G106" s="91"/>
      <c r="H106" s="91"/>
      <c r="I106" s="91"/>
      <c r="J106" s="91"/>
      <c r="K106" s="91"/>
      <c r="L106" s="91"/>
      <c r="M106" s="91"/>
      <c r="AE106" s="90">
        <f t="shared" si="1"/>
        <v>0</v>
      </c>
      <c r="AF106" s="90">
        <f t="shared" si="0"/>
        <v>0</v>
      </c>
      <c r="AG106" s="90">
        <f t="shared" si="0"/>
        <v>0</v>
      </c>
      <c r="AH106" s="90">
        <f t="shared" si="0"/>
        <v>0</v>
      </c>
      <c r="AI106" s="90">
        <f t="shared" si="0"/>
        <v>0</v>
      </c>
      <c r="AJ106" s="90">
        <f t="shared" si="0"/>
        <v>0</v>
      </c>
      <c r="AK106" s="90">
        <f t="shared" si="0"/>
        <v>0</v>
      </c>
      <c r="AL106" s="90">
        <f t="shared" si="0"/>
        <v>0</v>
      </c>
      <c r="AM106" s="91">
        <f t="shared" si="0"/>
        <v>0</v>
      </c>
      <c r="AN106" s="91">
        <f t="shared" si="0"/>
        <v>0</v>
      </c>
      <c r="AO106" s="91">
        <f t="shared" si="0"/>
        <v>0</v>
      </c>
    </row>
    <row r="107" spans="4:41" x14ac:dyDescent="0.2">
      <c r="D107" s="91"/>
      <c r="E107" s="91"/>
      <c r="F107" s="91"/>
      <c r="G107" s="91"/>
      <c r="H107" s="91"/>
      <c r="I107" s="91"/>
      <c r="J107" s="91"/>
      <c r="K107" s="91"/>
      <c r="L107" s="91"/>
      <c r="M107" s="91"/>
      <c r="AE107" s="90">
        <f t="shared" si="1"/>
        <v>0</v>
      </c>
      <c r="AF107" s="90">
        <f t="shared" si="0"/>
        <v>0</v>
      </c>
      <c r="AG107" s="90">
        <f t="shared" si="0"/>
        <v>0</v>
      </c>
      <c r="AH107" s="90">
        <f t="shared" si="0"/>
        <v>0</v>
      </c>
      <c r="AI107" s="90">
        <f t="shared" si="0"/>
        <v>0</v>
      </c>
      <c r="AJ107" s="90">
        <f t="shared" si="0"/>
        <v>0</v>
      </c>
      <c r="AK107" s="90">
        <f t="shared" si="0"/>
        <v>0</v>
      </c>
      <c r="AL107" s="90">
        <f t="shared" si="0"/>
        <v>0</v>
      </c>
      <c r="AM107" s="91">
        <f t="shared" si="0"/>
        <v>0</v>
      </c>
      <c r="AN107" s="91">
        <f t="shared" si="0"/>
        <v>0</v>
      </c>
      <c r="AO107" s="91">
        <f t="shared" si="0"/>
        <v>0</v>
      </c>
    </row>
    <row r="108" spans="4:41" x14ac:dyDescent="0.2"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AE108" s="90">
        <f t="shared" si="1"/>
        <v>0</v>
      </c>
      <c r="AF108" s="90">
        <f t="shared" si="0"/>
        <v>0</v>
      </c>
      <c r="AG108" s="90">
        <f t="shared" si="0"/>
        <v>0</v>
      </c>
      <c r="AH108" s="90">
        <f t="shared" si="0"/>
        <v>0</v>
      </c>
      <c r="AI108" s="90">
        <f t="shared" si="0"/>
        <v>0</v>
      </c>
      <c r="AJ108" s="90">
        <f t="shared" si="0"/>
        <v>0</v>
      </c>
      <c r="AK108" s="90">
        <f t="shared" si="0"/>
        <v>0</v>
      </c>
      <c r="AL108" s="90">
        <f t="shared" si="0"/>
        <v>0</v>
      </c>
      <c r="AM108" s="91">
        <f t="shared" si="0"/>
        <v>0</v>
      </c>
      <c r="AN108" s="91">
        <f t="shared" si="0"/>
        <v>0</v>
      </c>
      <c r="AO108" s="91">
        <f t="shared" si="0"/>
        <v>0</v>
      </c>
    </row>
    <row r="109" spans="4:41" x14ac:dyDescent="0.2"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AE109" s="90">
        <f t="shared" si="1"/>
        <v>0</v>
      </c>
      <c r="AF109" s="90">
        <f t="shared" si="0"/>
        <v>0</v>
      </c>
      <c r="AG109" s="90">
        <f t="shared" si="0"/>
        <v>0</v>
      </c>
      <c r="AH109" s="90">
        <f t="shared" si="0"/>
        <v>0</v>
      </c>
      <c r="AI109" s="90">
        <f t="shared" si="0"/>
        <v>0</v>
      </c>
      <c r="AJ109" s="90">
        <f t="shared" si="0"/>
        <v>0</v>
      </c>
      <c r="AK109" s="90">
        <f t="shared" si="0"/>
        <v>0</v>
      </c>
      <c r="AL109" s="90">
        <f t="shared" si="0"/>
        <v>0</v>
      </c>
      <c r="AM109" s="91">
        <f t="shared" si="0"/>
        <v>0</v>
      </c>
      <c r="AN109" s="91">
        <f t="shared" si="0"/>
        <v>0</v>
      </c>
      <c r="AO109" s="91">
        <f t="shared" si="0"/>
        <v>0</v>
      </c>
    </row>
    <row r="110" spans="4:41" x14ac:dyDescent="0.2">
      <c r="D110" s="91"/>
      <c r="E110" s="91"/>
      <c r="F110" s="91"/>
      <c r="G110" s="91"/>
      <c r="H110" s="91"/>
      <c r="I110" s="91"/>
      <c r="J110" s="91"/>
      <c r="K110" s="91"/>
      <c r="L110" s="91"/>
      <c r="M110" s="91"/>
      <c r="AE110" s="90">
        <f t="shared" si="1"/>
        <v>0</v>
      </c>
      <c r="AF110" s="90">
        <f t="shared" si="0"/>
        <v>0</v>
      </c>
      <c r="AG110" s="90">
        <f t="shared" si="0"/>
        <v>0</v>
      </c>
      <c r="AH110" s="90">
        <f t="shared" si="0"/>
        <v>0</v>
      </c>
      <c r="AI110" s="90">
        <f t="shared" si="0"/>
        <v>0</v>
      </c>
      <c r="AJ110" s="90">
        <f t="shared" si="0"/>
        <v>0</v>
      </c>
      <c r="AK110" s="90">
        <f t="shared" si="0"/>
        <v>0</v>
      </c>
      <c r="AL110" s="90">
        <f t="shared" si="0"/>
        <v>0</v>
      </c>
      <c r="AM110" s="91">
        <f t="shared" si="0"/>
        <v>0</v>
      </c>
      <c r="AN110" s="91">
        <f t="shared" si="0"/>
        <v>0</v>
      </c>
      <c r="AO110" s="91">
        <f t="shared" si="0"/>
        <v>0</v>
      </c>
    </row>
    <row r="111" spans="4:41" x14ac:dyDescent="0.2">
      <c r="D111" s="91"/>
      <c r="E111" s="91"/>
      <c r="F111" s="91"/>
      <c r="G111" s="91"/>
      <c r="H111" s="91"/>
      <c r="I111" s="91"/>
      <c r="J111" s="91"/>
      <c r="K111" s="91"/>
      <c r="L111" s="91"/>
      <c r="M111" s="91"/>
      <c r="AE111" s="90">
        <f t="shared" si="1"/>
        <v>0</v>
      </c>
      <c r="AF111" s="90">
        <f t="shared" si="0"/>
        <v>0</v>
      </c>
      <c r="AG111" s="90">
        <f t="shared" si="0"/>
        <v>0</v>
      </c>
      <c r="AH111" s="90">
        <f t="shared" si="0"/>
        <v>0</v>
      </c>
      <c r="AI111" s="90">
        <f t="shared" si="0"/>
        <v>0</v>
      </c>
      <c r="AJ111" s="90">
        <f t="shared" si="0"/>
        <v>0</v>
      </c>
      <c r="AK111" s="90">
        <f t="shared" si="0"/>
        <v>0</v>
      </c>
      <c r="AL111" s="90">
        <f t="shared" si="0"/>
        <v>0</v>
      </c>
      <c r="AM111" s="91">
        <f t="shared" si="0"/>
        <v>0</v>
      </c>
      <c r="AN111" s="91">
        <f t="shared" si="0"/>
        <v>0</v>
      </c>
      <c r="AO111" s="91">
        <f t="shared" si="0"/>
        <v>0</v>
      </c>
    </row>
    <row r="112" spans="4:41" x14ac:dyDescent="0.2">
      <c r="D112" s="91"/>
      <c r="E112" s="91"/>
      <c r="F112" s="91"/>
      <c r="G112" s="91"/>
      <c r="H112" s="91"/>
      <c r="I112" s="91"/>
      <c r="J112" s="91"/>
      <c r="K112" s="91"/>
      <c r="L112" s="91"/>
      <c r="M112" s="91"/>
      <c r="AE112" s="90">
        <f t="shared" si="1"/>
        <v>0</v>
      </c>
      <c r="AF112" s="90">
        <f t="shared" si="1"/>
        <v>0</v>
      </c>
      <c r="AG112" s="90">
        <f t="shared" si="1"/>
        <v>0</v>
      </c>
      <c r="AH112" s="90">
        <f t="shared" si="1"/>
        <v>0</v>
      </c>
      <c r="AI112" s="90">
        <f t="shared" si="1"/>
        <v>0</v>
      </c>
      <c r="AJ112" s="90">
        <f t="shared" si="1"/>
        <v>0</v>
      </c>
      <c r="AK112" s="90">
        <f t="shared" si="1"/>
        <v>0</v>
      </c>
      <c r="AL112" s="90">
        <f t="shared" si="1"/>
        <v>0</v>
      </c>
      <c r="AM112" s="91">
        <f t="shared" si="1"/>
        <v>0</v>
      </c>
      <c r="AN112" s="91">
        <f t="shared" si="1"/>
        <v>0</v>
      </c>
      <c r="AO112" s="91">
        <f t="shared" si="1"/>
        <v>0</v>
      </c>
    </row>
    <row r="113" spans="4:41" x14ac:dyDescent="0.2">
      <c r="D113" s="91"/>
      <c r="E113" s="91"/>
      <c r="F113" s="91"/>
      <c r="G113" s="91"/>
      <c r="H113" s="91"/>
      <c r="I113" s="91"/>
      <c r="J113" s="91"/>
      <c r="K113" s="91"/>
      <c r="L113" s="91"/>
      <c r="M113" s="91"/>
      <c r="AE113" s="90">
        <f t="shared" si="1"/>
        <v>0</v>
      </c>
      <c r="AF113" s="90">
        <f t="shared" si="1"/>
        <v>0</v>
      </c>
      <c r="AG113" s="90">
        <f t="shared" si="1"/>
        <v>0</v>
      </c>
      <c r="AH113" s="90">
        <f t="shared" si="1"/>
        <v>0</v>
      </c>
      <c r="AI113" s="90">
        <f t="shared" si="1"/>
        <v>0</v>
      </c>
      <c r="AJ113" s="90">
        <f t="shared" si="1"/>
        <v>0</v>
      </c>
      <c r="AK113" s="90">
        <f t="shared" si="1"/>
        <v>0</v>
      </c>
      <c r="AL113" s="90">
        <f t="shared" si="1"/>
        <v>0</v>
      </c>
      <c r="AM113" s="91">
        <f t="shared" si="1"/>
        <v>0</v>
      </c>
      <c r="AN113" s="91">
        <f t="shared" si="1"/>
        <v>0</v>
      </c>
      <c r="AO113" s="91">
        <f t="shared" si="1"/>
        <v>0</v>
      </c>
    </row>
    <row r="114" spans="4:41" x14ac:dyDescent="0.2">
      <c r="D114" s="91"/>
      <c r="E114" s="91"/>
      <c r="F114" s="91"/>
      <c r="G114" s="91"/>
      <c r="H114" s="91"/>
      <c r="I114" s="91"/>
      <c r="J114" s="91"/>
      <c r="K114" s="91"/>
      <c r="L114" s="91"/>
      <c r="M114" s="91"/>
      <c r="AE114" s="90">
        <f t="shared" si="1"/>
        <v>0</v>
      </c>
      <c r="AF114" s="90">
        <f t="shared" si="1"/>
        <v>0</v>
      </c>
      <c r="AG114" s="90">
        <f t="shared" si="1"/>
        <v>0</v>
      </c>
      <c r="AH114" s="90">
        <f t="shared" si="1"/>
        <v>0</v>
      </c>
      <c r="AI114" s="90">
        <f t="shared" si="1"/>
        <v>0</v>
      </c>
      <c r="AJ114" s="90">
        <f t="shared" si="1"/>
        <v>0</v>
      </c>
      <c r="AK114" s="90">
        <f t="shared" si="1"/>
        <v>0</v>
      </c>
      <c r="AL114" s="90">
        <f t="shared" si="1"/>
        <v>0</v>
      </c>
      <c r="AM114" s="91">
        <f t="shared" si="1"/>
        <v>0</v>
      </c>
      <c r="AN114" s="91">
        <f t="shared" si="1"/>
        <v>0</v>
      </c>
      <c r="AO114" s="91">
        <f t="shared" si="1"/>
        <v>0</v>
      </c>
    </row>
    <row r="115" spans="4:41" x14ac:dyDescent="0.2">
      <c r="D115" s="91"/>
      <c r="E115" s="91"/>
      <c r="F115" s="91"/>
      <c r="G115" s="91"/>
      <c r="H115" s="91"/>
      <c r="I115" s="91"/>
      <c r="J115" s="91"/>
      <c r="K115" s="91"/>
      <c r="L115" s="91"/>
      <c r="M115" s="91"/>
      <c r="AE115" s="90">
        <f t="shared" si="1"/>
        <v>0</v>
      </c>
      <c r="AF115" s="90">
        <f t="shared" si="1"/>
        <v>0</v>
      </c>
      <c r="AG115" s="90">
        <f t="shared" si="1"/>
        <v>0</v>
      </c>
      <c r="AH115" s="90">
        <f t="shared" si="1"/>
        <v>0</v>
      </c>
      <c r="AI115" s="90">
        <f t="shared" si="1"/>
        <v>0</v>
      </c>
      <c r="AJ115" s="90">
        <f t="shared" si="1"/>
        <v>0</v>
      </c>
      <c r="AK115" s="90">
        <f t="shared" si="1"/>
        <v>0</v>
      </c>
      <c r="AL115" s="90">
        <f t="shared" si="1"/>
        <v>0</v>
      </c>
      <c r="AM115" s="91">
        <f t="shared" si="1"/>
        <v>0</v>
      </c>
      <c r="AN115" s="91">
        <f t="shared" si="1"/>
        <v>0</v>
      </c>
      <c r="AO115" s="91">
        <f t="shared" si="1"/>
        <v>0</v>
      </c>
    </row>
    <row r="116" spans="4:41" x14ac:dyDescent="0.2">
      <c r="D116" s="91"/>
      <c r="E116" s="91"/>
      <c r="F116" s="91"/>
      <c r="G116" s="91"/>
      <c r="H116" s="91"/>
      <c r="I116" s="91"/>
      <c r="J116" s="91"/>
      <c r="K116" s="91"/>
      <c r="L116" s="91"/>
      <c r="M116" s="91"/>
      <c r="AE116" s="90">
        <f t="shared" si="1"/>
        <v>0</v>
      </c>
      <c r="AF116" s="90">
        <f t="shared" si="1"/>
        <v>0</v>
      </c>
      <c r="AG116" s="90">
        <f t="shared" si="1"/>
        <v>0</v>
      </c>
      <c r="AH116" s="90">
        <f t="shared" si="1"/>
        <v>0</v>
      </c>
      <c r="AI116" s="90">
        <f t="shared" si="1"/>
        <v>0</v>
      </c>
      <c r="AJ116" s="90">
        <f t="shared" si="1"/>
        <v>0</v>
      </c>
      <c r="AK116" s="90">
        <f t="shared" si="1"/>
        <v>0</v>
      </c>
      <c r="AL116" s="90">
        <f t="shared" si="1"/>
        <v>0</v>
      </c>
      <c r="AM116" s="91">
        <f t="shared" si="1"/>
        <v>0</v>
      </c>
      <c r="AN116" s="91">
        <f t="shared" si="1"/>
        <v>0</v>
      </c>
      <c r="AO116" s="91">
        <f t="shared" si="1"/>
        <v>0</v>
      </c>
    </row>
    <row r="117" spans="4:41" x14ac:dyDescent="0.2">
      <c r="D117" s="91"/>
      <c r="E117" s="91"/>
      <c r="F117" s="91"/>
      <c r="G117" s="91"/>
      <c r="H117" s="91"/>
      <c r="I117" s="91"/>
      <c r="J117" s="91"/>
      <c r="K117" s="91"/>
      <c r="L117" s="91"/>
      <c r="M117" s="91"/>
      <c r="AE117" s="90">
        <f t="shared" si="1"/>
        <v>0</v>
      </c>
      <c r="AF117" s="90">
        <f t="shared" si="1"/>
        <v>0</v>
      </c>
      <c r="AG117" s="90">
        <f t="shared" si="1"/>
        <v>0</v>
      </c>
      <c r="AH117" s="90">
        <f t="shared" si="1"/>
        <v>0</v>
      </c>
      <c r="AI117" s="90">
        <f t="shared" si="1"/>
        <v>0</v>
      </c>
      <c r="AJ117" s="90">
        <f t="shared" si="1"/>
        <v>0</v>
      </c>
      <c r="AK117" s="90">
        <f t="shared" si="1"/>
        <v>0</v>
      </c>
      <c r="AL117" s="90">
        <f t="shared" si="1"/>
        <v>0</v>
      </c>
      <c r="AM117" s="91">
        <f t="shared" si="1"/>
        <v>0</v>
      </c>
      <c r="AN117" s="91">
        <f t="shared" si="1"/>
        <v>0</v>
      </c>
      <c r="AO117" s="91">
        <f t="shared" si="1"/>
        <v>0</v>
      </c>
    </row>
    <row r="118" spans="4:41" x14ac:dyDescent="0.2">
      <c r="D118" s="91"/>
      <c r="E118" s="91"/>
      <c r="F118" s="91"/>
      <c r="G118" s="91"/>
      <c r="H118" s="91"/>
      <c r="I118" s="91"/>
      <c r="J118" s="91"/>
      <c r="K118" s="91"/>
      <c r="L118" s="91"/>
      <c r="M118" s="91"/>
    </row>
    <row r="119" spans="4:41" x14ac:dyDescent="0.2">
      <c r="D119" s="91"/>
      <c r="E119" s="91"/>
      <c r="F119" s="91"/>
      <c r="G119" s="91"/>
      <c r="H119" s="91"/>
      <c r="I119" s="91"/>
      <c r="J119" s="91"/>
      <c r="K119" s="91"/>
      <c r="L119" s="91"/>
      <c r="M119" s="91"/>
    </row>
    <row r="120" spans="4:41" x14ac:dyDescent="0.2">
      <c r="D120" s="91"/>
      <c r="E120" s="91"/>
      <c r="F120" s="91"/>
      <c r="G120" s="91"/>
      <c r="H120" s="91"/>
      <c r="I120" s="91"/>
      <c r="J120" s="91"/>
      <c r="K120" s="91"/>
      <c r="L120" s="91"/>
      <c r="M120" s="91"/>
    </row>
    <row r="121" spans="4:41" x14ac:dyDescent="0.2">
      <c r="D121" s="91"/>
      <c r="E121" s="91"/>
      <c r="F121" s="91"/>
      <c r="G121" s="91"/>
      <c r="H121" s="91"/>
      <c r="I121" s="91"/>
      <c r="J121" s="91"/>
      <c r="K121" s="91"/>
      <c r="L121" s="91"/>
      <c r="M121" s="91"/>
    </row>
    <row r="122" spans="4:41" x14ac:dyDescent="0.2">
      <c r="D122" s="91"/>
      <c r="E122" s="91"/>
      <c r="F122" s="91"/>
      <c r="G122" s="91"/>
      <c r="H122" s="91"/>
      <c r="I122" s="91"/>
      <c r="J122" s="91"/>
      <c r="K122" s="91"/>
      <c r="L122" s="91"/>
      <c r="M122" s="91"/>
    </row>
    <row r="123" spans="4:41" x14ac:dyDescent="0.2">
      <c r="D123" s="91"/>
      <c r="E123" s="91"/>
      <c r="F123" s="91"/>
      <c r="G123" s="91"/>
      <c r="H123" s="91"/>
      <c r="I123" s="91"/>
      <c r="J123" s="91"/>
      <c r="K123" s="91"/>
      <c r="L123" s="91"/>
      <c r="M123" s="91"/>
    </row>
  </sheetData>
  <sheetProtection password="D99C" sheet="1" objects="1" scenarios="1" selectLockedCells="1"/>
  <mergeCells count="4">
    <mergeCell ref="G1:J1"/>
    <mergeCell ref="H6:I6"/>
    <mergeCell ref="AJ6:AK6"/>
    <mergeCell ref="H7:I7"/>
  </mergeCells>
  <conditionalFormatting sqref="G19:H23 E16 I9 D9:E9 E26 I14:I15 I24 C12:D15 G12:H13 I26">
    <cfRule type="cellIs" dxfId="2" priority="1" stopIfTrue="1" operator="notEqual">
      <formula>AE9</formula>
    </cfRule>
  </conditionalFormatting>
  <dataValidations count="1">
    <dataValidation type="list" allowBlank="1" showInputMessage="1" showErrorMessage="1" sqref="G12:G13" xr:uid="{00000000-0002-0000-0000-000000000000}">
      <formula1>$AB$12:$AB$15</formula1>
    </dataValidation>
  </dataValidations>
  <pageMargins left="0.75" right="0.75" top="1" bottom="1" header="0.5" footer="0.5"/>
  <pageSetup scale="99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BB123"/>
  <sheetViews>
    <sheetView showGridLines="0" tabSelected="1" workbookViewId="0">
      <selection activeCell="I10" sqref="I10"/>
    </sheetView>
  </sheetViews>
  <sheetFormatPr defaultColWidth="8.85546875" defaultRowHeight="12.75" x14ac:dyDescent="0.2"/>
  <cols>
    <col min="1" max="1" width="1.42578125" customWidth="1"/>
    <col min="2" max="2" width="1.5703125" customWidth="1"/>
    <col min="3" max="3" width="3" customWidth="1"/>
    <col min="4" max="4" width="4" customWidth="1"/>
    <col min="5" max="5" width="3.42578125" customWidth="1"/>
    <col min="6" max="6" width="31.7109375" customWidth="1"/>
    <col min="7" max="7" width="5.140625" customWidth="1"/>
    <col min="8" max="8" width="6" customWidth="1"/>
    <col min="9" max="10" width="11.140625" customWidth="1"/>
    <col min="11" max="11" width="3" customWidth="1"/>
    <col min="12" max="12" width="1.5703125" customWidth="1"/>
    <col min="13" max="25" width="8.85546875" customWidth="1"/>
    <col min="26" max="26" width="9.140625" style="3" customWidth="1"/>
    <col min="27" max="27" width="8.85546875" style="3" hidden="1" customWidth="1"/>
    <col min="28" max="28" width="37.140625" style="3" hidden="1" customWidth="1"/>
    <col min="29" max="31" width="8.85546875" style="3" hidden="1" customWidth="1"/>
    <col min="32" max="32" width="40" style="3" hidden="1" customWidth="1"/>
    <col min="33" max="37" width="8.85546875" style="3" hidden="1" customWidth="1"/>
    <col min="38" max="38" width="10.85546875" style="3" hidden="1" customWidth="1"/>
    <col min="39" max="42" width="10.85546875" style="3" customWidth="1"/>
    <col min="43" max="54" width="9.140625" style="3" customWidth="1"/>
  </cols>
  <sheetData>
    <row r="1" spans="1:37" x14ac:dyDescent="0.2">
      <c r="A1" s="106" t="s">
        <v>0</v>
      </c>
      <c r="H1" s="105" t="s">
        <v>1</v>
      </c>
      <c r="I1" s="161" t="s">
        <v>44</v>
      </c>
      <c r="J1" s="161"/>
      <c r="K1" s="161"/>
      <c r="L1" s="161"/>
      <c r="M1" s="161"/>
      <c r="AC1" s="3">
        <f>SUM(AF100:AJ123)</f>
        <v>0</v>
      </c>
    </row>
    <row r="3" spans="1:37" ht="12" customHeight="1" x14ac:dyDescent="0.2">
      <c r="A3" s="2" t="str">
        <f>IF(SUM(AF100:AJ200)=0,"You have successfully completed this problem.","You have "&amp;AC1&amp; " item(s) remaining to answer correctly.")</f>
        <v>You have successfully completed this problem.</v>
      </c>
      <c r="B3" s="2"/>
    </row>
    <row r="4" spans="1:37" ht="12" customHeight="1" x14ac:dyDescent="0.2">
      <c r="A4" s="2"/>
      <c r="B4" s="2"/>
    </row>
    <row r="5" spans="1:37" ht="12" customHeight="1" x14ac:dyDescent="0.2">
      <c r="B5" s="120"/>
      <c r="C5" s="121"/>
      <c r="D5" s="121"/>
      <c r="E5" s="121"/>
      <c r="F5" s="121"/>
      <c r="G5" s="121"/>
      <c r="H5" s="121"/>
      <c r="I5" s="121"/>
      <c r="J5" s="121"/>
      <c r="K5" s="121"/>
      <c r="L5" s="122"/>
    </row>
    <row r="6" spans="1:37" ht="12" customHeight="1" x14ac:dyDescent="0.2">
      <c r="B6" s="123"/>
      <c r="C6" s="124"/>
      <c r="D6" s="124"/>
      <c r="E6" s="124"/>
      <c r="F6" s="173" t="s">
        <v>26</v>
      </c>
      <c r="G6" s="173"/>
      <c r="H6" s="173"/>
      <c r="I6" s="125" t="s">
        <v>27</v>
      </c>
      <c r="J6" s="126" t="s">
        <v>28</v>
      </c>
      <c r="K6" s="124"/>
      <c r="L6" s="119"/>
    </row>
    <row r="7" spans="1:37" ht="4.5" customHeight="1" x14ac:dyDescent="0.2">
      <c r="B7" s="123"/>
      <c r="C7" s="127"/>
      <c r="D7" s="127"/>
      <c r="E7" s="127"/>
      <c r="F7" s="127"/>
      <c r="G7" s="127"/>
      <c r="H7" s="127"/>
      <c r="I7" s="128"/>
      <c r="J7" s="128"/>
      <c r="K7" s="127"/>
      <c r="L7" s="119"/>
    </row>
    <row r="8" spans="1:37" ht="12" customHeight="1" x14ac:dyDescent="0.2">
      <c r="B8" s="123"/>
      <c r="C8" s="174"/>
      <c r="D8" s="176" t="s">
        <v>29</v>
      </c>
      <c r="E8" s="177"/>
      <c r="F8" s="166" t="s">
        <v>30</v>
      </c>
      <c r="G8" s="172" t="s">
        <v>31</v>
      </c>
      <c r="H8" s="171" t="s">
        <v>32</v>
      </c>
      <c r="I8" s="169" t="s">
        <v>33</v>
      </c>
      <c r="J8" s="170" t="s">
        <v>34</v>
      </c>
      <c r="K8" s="164"/>
      <c r="L8" s="119"/>
    </row>
    <row r="9" spans="1:37" ht="11.25" customHeight="1" x14ac:dyDescent="0.2">
      <c r="B9" s="123"/>
      <c r="C9" s="175"/>
      <c r="D9" s="167"/>
      <c r="E9" s="168"/>
      <c r="F9" s="166"/>
      <c r="G9" s="172"/>
      <c r="H9" s="171"/>
      <c r="I9" s="169"/>
      <c r="J9" s="170"/>
      <c r="K9" s="165"/>
      <c r="L9" s="119"/>
      <c r="AA9" s="5"/>
      <c r="AC9" s="16"/>
      <c r="AD9" s="162"/>
      <c r="AE9" s="163"/>
      <c r="AF9" s="18"/>
      <c r="AG9" s="19"/>
      <c r="AI9" s="4" t="s">
        <v>33</v>
      </c>
      <c r="AJ9" s="6" t="s">
        <v>34</v>
      </c>
      <c r="AK9" s="17"/>
    </row>
    <row r="10" spans="1:37" ht="17.25" x14ac:dyDescent="0.2">
      <c r="B10" s="123"/>
      <c r="C10" s="129">
        <v>1</v>
      </c>
      <c r="D10" s="130" t="s">
        <v>35</v>
      </c>
      <c r="E10" s="145">
        <v>30</v>
      </c>
      <c r="F10" s="93" t="s">
        <v>36</v>
      </c>
      <c r="G10" s="94" t="s">
        <v>37</v>
      </c>
      <c r="H10" s="146"/>
      <c r="I10" s="95">
        <v>25</v>
      </c>
      <c r="J10" s="95"/>
      <c r="K10" s="140">
        <v>1</v>
      </c>
      <c r="L10" s="119"/>
      <c r="AA10" s="20"/>
      <c r="AC10" s="7">
        <v>1</v>
      </c>
      <c r="AD10" s="21"/>
      <c r="AE10" s="22"/>
      <c r="AF10" s="42" t="s">
        <v>36</v>
      </c>
      <c r="AG10" s="92" t="s">
        <v>37</v>
      </c>
      <c r="AH10" s="147"/>
      <c r="AI10" s="14">
        <v>25</v>
      </c>
      <c r="AJ10" s="43"/>
      <c r="AK10" s="9">
        <v>1</v>
      </c>
    </row>
    <row r="11" spans="1:37" x14ac:dyDescent="0.2">
      <c r="B11" s="123"/>
      <c r="C11" s="131">
        <v>2</v>
      </c>
      <c r="D11" s="132"/>
      <c r="E11" s="145"/>
      <c r="F11" s="96" t="s">
        <v>38</v>
      </c>
      <c r="G11" s="94"/>
      <c r="H11" s="148"/>
      <c r="I11" s="95"/>
      <c r="J11" s="95">
        <v>25</v>
      </c>
      <c r="K11" s="141">
        <v>2</v>
      </c>
      <c r="L11" s="119"/>
      <c r="AA11" s="20"/>
      <c r="AC11" s="10">
        <v>2</v>
      </c>
      <c r="AD11" s="24"/>
      <c r="AE11" s="25"/>
      <c r="AF11" s="44" t="s">
        <v>38</v>
      </c>
      <c r="AG11" s="45"/>
      <c r="AH11" s="149"/>
      <c r="AI11" s="8"/>
      <c r="AJ11" s="150">
        <v>25</v>
      </c>
      <c r="AK11" s="28">
        <v>2</v>
      </c>
    </row>
    <row r="12" spans="1:37" ht="13.5" thickBot="1" x14ac:dyDescent="0.25">
      <c r="B12" s="123"/>
      <c r="C12" s="133">
        <v>3</v>
      </c>
      <c r="D12" s="134"/>
      <c r="E12" s="151"/>
      <c r="F12" s="97"/>
      <c r="G12" s="98"/>
      <c r="H12" s="152"/>
      <c r="I12" s="99"/>
      <c r="J12" s="99"/>
      <c r="K12" s="142">
        <v>3</v>
      </c>
      <c r="L12" s="119"/>
      <c r="AC12" s="11">
        <v>3</v>
      </c>
      <c r="AD12" s="29"/>
      <c r="AE12" s="30"/>
      <c r="AF12" s="31"/>
      <c r="AG12" s="30"/>
      <c r="AH12" s="153"/>
      <c r="AI12" s="12"/>
      <c r="AJ12" s="32"/>
      <c r="AK12" s="33">
        <v>3</v>
      </c>
    </row>
    <row r="13" spans="1:37" x14ac:dyDescent="0.2">
      <c r="B13" s="123"/>
      <c r="C13" s="135">
        <v>4</v>
      </c>
      <c r="D13" s="136"/>
      <c r="E13" s="154"/>
      <c r="F13" s="100"/>
      <c r="G13" s="101"/>
      <c r="H13" s="146"/>
      <c r="I13" s="102"/>
      <c r="J13" s="102"/>
      <c r="K13" s="143">
        <v>4</v>
      </c>
      <c r="L13" s="119"/>
      <c r="AC13" s="13">
        <v>4</v>
      </c>
      <c r="AD13" s="34"/>
      <c r="AE13" s="22"/>
      <c r="AF13" s="35"/>
      <c r="AG13" s="22"/>
      <c r="AH13" s="147"/>
      <c r="AI13" s="14"/>
      <c r="AJ13" s="23"/>
      <c r="AK13" s="36">
        <v>4</v>
      </c>
    </row>
    <row r="14" spans="1:37" x14ac:dyDescent="0.2">
      <c r="B14" s="123"/>
      <c r="C14" s="137">
        <v>5</v>
      </c>
      <c r="D14" s="132"/>
      <c r="E14" s="145"/>
      <c r="F14" s="103"/>
      <c r="G14" s="94"/>
      <c r="H14" s="148"/>
      <c r="I14" s="95"/>
      <c r="J14" s="95"/>
      <c r="K14" s="144">
        <v>5</v>
      </c>
      <c r="L14" s="119"/>
      <c r="AC14" s="37">
        <v>5</v>
      </c>
      <c r="AD14" s="24"/>
      <c r="AE14" s="26"/>
      <c r="AF14" s="38"/>
      <c r="AG14" s="26"/>
      <c r="AH14" s="149"/>
      <c r="AI14" s="8"/>
      <c r="AJ14" s="27"/>
      <c r="AK14" s="39">
        <v>5</v>
      </c>
    </row>
    <row r="15" spans="1:37" ht="13.5" thickBot="1" x14ac:dyDescent="0.25">
      <c r="B15" s="123"/>
      <c r="C15" s="133">
        <v>6</v>
      </c>
      <c r="D15" s="134"/>
      <c r="E15" s="151"/>
      <c r="F15" s="104"/>
      <c r="G15" s="98"/>
      <c r="H15" s="152"/>
      <c r="I15" s="99"/>
      <c r="J15" s="99"/>
      <c r="K15" s="142">
        <v>6</v>
      </c>
      <c r="L15" s="119"/>
      <c r="AC15" s="11">
        <v>6</v>
      </c>
      <c r="AD15" s="29"/>
      <c r="AE15" s="30"/>
      <c r="AF15" s="40"/>
      <c r="AG15" s="30"/>
      <c r="AH15" s="153"/>
      <c r="AI15" s="12"/>
      <c r="AJ15" s="32"/>
      <c r="AK15" s="33">
        <v>6</v>
      </c>
    </row>
    <row r="16" spans="1:37" x14ac:dyDescent="0.2">
      <c r="B16" s="138"/>
      <c r="C16" s="124"/>
      <c r="D16" s="124"/>
      <c r="E16" s="124"/>
      <c r="F16" s="124"/>
      <c r="G16" s="124"/>
      <c r="H16" s="124"/>
      <c r="I16" s="124"/>
      <c r="J16" s="124"/>
      <c r="K16" s="124"/>
      <c r="L16" s="139"/>
      <c r="AC16" s="39">
        <v>7</v>
      </c>
      <c r="AD16" s="34"/>
      <c r="AE16" s="22"/>
      <c r="AF16" s="41"/>
      <c r="AG16" s="22"/>
      <c r="AH16" s="147"/>
      <c r="AI16" s="14"/>
      <c r="AJ16" s="23"/>
      <c r="AK16" s="36">
        <v>7</v>
      </c>
    </row>
    <row r="17" spans="27:37" x14ac:dyDescent="0.2">
      <c r="AC17" s="37">
        <v>8</v>
      </c>
      <c r="AD17" s="24"/>
      <c r="AE17" s="25"/>
      <c r="AF17" s="35"/>
      <c r="AG17" s="26"/>
      <c r="AH17" s="149"/>
      <c r="AI17" s="8"/>
      <c r="AJ17" s="27"/>
      <c r="AK17" s="39">
        <v>8</v>
      </c>
    </row>
    <row r="18" spans="27:37" ht="13.5" thickBot="1" x14ac:dyDescent="0.25">
      <c r="AA18" s="20"/>
      <c r="AC18" s="11">
        <v>9</v>
      </c>
      <c r="AD18" s="29"/>
      <c r="AE18" s="30"/>
      <c r="AF18" s="30"/>
      <c r="AG18" s="30"/>
      <c r="AH18" s="153"/>
      <c r="AI18" s="12"/>
      <c r="AJ18" s="32"/>
      <c r="AK18" s="33">
        <v>9</v>
      </c>
    </row>
    <row r="19" spans="27:37" x14ac:dyDescent="0.2">
      <c r="AA19" s="20"/>
    </row>
    <row r="20" spans="27:37" x14ac:dyDescent="0.2">
      <c r="AA20" s="20"/>
    </row>
    <row r="21" spans="27:37" x14ac:dyDescent="0.2">
      <c r="AA21" s="20"/>
    </row>
    <row r="34" spans="4:36" x14ac:dyDescent="0.2">
      <c r="AD34" s="15"/>
      <c r="AE34" s="15"/>
      <c r="AF34" s="15"/>
      <c r="AG34" s="15"/>
      <c r="AH34" s="15"/>
      <c r="AI34" s="15"/>
      <c r="AJ34" s="15"/>
    </row>
    <row r="35" spans="4:36" x14ac:dyDescent="0.2">
      <c r="AD35" s="15"/>
      <c r="AE35" s="15"/>
      <c r="AF35" s="15"/>
      <c r="AG35" s="15"/>
      <c r="AH35" s="15"/>
      <c r="AI35" s="15"/>
      <c r="AJ35" s="15"/>
    </row>
    <row r="36" spans="4:36" x14ac:dyDescent="0.2">
      <c r="AD36" s="15"/>
      <c r="AE36" s="15"/>
      <c r="AF36" s="15"/>
      <c r="AG36" s="15"/>
      <c r="AH36" s="15"/>
      <c r="AI36" s="15"/>
      <c r="AJ36" s="15"/>
    </row>
    <row r="37" spans="4:36" x14ac:dyDescent="0.2">
      <c r="D37" s="1"/>
      <c r="E37" s="1"/>
      <c r="F37" s="1"/>
      <c r="G37" s="1"/>
      <c r="H37" s="1"/>
      <c r="I37" s="1"/>
      <c r="J37" s="1"/>
      <c r="K37" s="1"/>
      <c r="AC37" s="3" t="s">
        <v>38</v>
      </c>
      <c r="AD37" s="15"/>
      <c r="AE37" s="15"/>
      <c r="AF37" s="15"/>
      <c r="AG37" s="15"/>
      <c r="AH37" s="15"/>
      <c r="AI37" s="15"/>
      <c r="AJ37" s="15"/>
    </row>
    <row r="38" spans="4:36" x14ac:dyDescent="0.2">
      <c r="D38" s="1"/>
      <c r="E38" s="1"/>
      <c r="F38" s="1"/>
      <c r="G38" s="1"/>
      <c r="H38" s="1"/>
      <c r="I38" s="1"/>
      <c r="J38" s="1"/>
      <c r="K38" s="1"/>
      <c r="AC38" s="3" t="s">
        <v>39</v>
      </c>
      <c r="AD38" s="15"/>
      <c r="AE38" s="15"/>
      <c r="AF38" s="15"/>
      <c r="AG38" s="15"/>
      <c r="AH38" s="15"/>
      <c r="AI38" s="15"/>
      <c r="AJ38" s="15"/>
    </row>
    <row r="39" spans="4:36" x14ac:dyDescent="0.2">
      <c r="D39" s="1"/>
      <c r="E39" s="1"/>
      <c r="F39" s="1"/>
      <c r="G39" s="1"/>
      <c r="H39" s="1"/>
      <c r="I39" s="1"/>
      <c r="J39" s="1"/>
      <c r="K39" s="1"/>
      <c r="AC39" s="3" t="s">
        <v>40</v>
      </c>
      <c r="AD39" s="15"/>
      <c r="AE39" s="15"/>
      <c r="AF39" s="15"/>
      <c r="AG39" s="15"/>
      <c r="AH39" s="15"/>
      <c r="AI39" s="15"/>
      <c r="AJ39" s="15"/>
    </row>
    <row r="40" spans="4:36" x14ac:dyDescent="0.2">
      <c r="D40" s="1"/>
      <c r="E40" s="1"/>
      <c r="F40" s="1"/>
      <c r="G40" s="1"/>
      <c r="H40" s="1"/>
      <c r="I40" s="1"/>
      <c r="J40" s="1"/>
      <c r="K40" s="1"/>
      <c r="AC40" s="3" t="s">
        <v>41</v>
      </c>
      <c r="AD40" s="15"/>
      <c r="AE40" s="15"/>
      <c r="AF40" s="15"/>
      <c r="AG40" s="15"/>
      <c r="AH40" s="15"/>
      <c r="AI40" s="15"/>
      <c r="AJ40" s="15"/>
    </row>
    <row r="41" spans="4:36" x14ac:dyDescent="0.2">
      <c r="D41" s="1"/>
      <c r="E41" s="1"/>
      <c r="F41" s="1"/>
      <c r="G41" s="1"/>
      <c r="H41" s="1"/>
      <c r="I41" s="1"/>
      <c r="J41" s="1"/>
      <c r="K41" s="1"/>
      <c r="AC41" s="3" t="s">
        <v>36</v>
      </c>
      <c r="AD41" s="15"/>
      <c r="AE41" s="15"/>
      <c r="AF41" s="15"/>
      <c r="AG41" s="15"/>
      <c r="AH41" s="15"/>
      <c r="AI41" s="15"/>
      <c r="AJ41" s="15"/>
    </row>
    <row r="42" spans="4:36" x14ac:dyDescent="0.2">
      <c r="D42" s="1"/>
      <c r="E42" s="1"/>
      <c r="F42" s="1"/>
      <c r="G42" s="1"/>
      <c r="H42" s="1"/>
      <c r="I42" s="1"/>
      <c r="J42" s="1"/>
      <c r="K42" s="1"/>
      <c r="AC42" s="3" t="s">
        <v>42</v>
      </c>
      <c r="AD42" s="15"/>
      <c r="AE42" s="15"/>
      <c r="AF42" s="15"/>
      <c r="AG42" s="15"/>
      <c r="AH42" s="15"/>
      <c r="AI42" s="15"/>
      <c r="AJ42" s="15"/>
    </row>
    <row r="43" spans="4:36" x14ac:dyDescent="0.2">
      <c r="D43" s="1"/>
      <c r="E43" s="1"/>
      <c r="F43" s="1"/>
      <c r="G43" s="1"/>
      <c r="H43" s="1"/>
      <c r="I43" s="1"/>
      <c r="J43" s="1"/>
      <c r="K43" s="1"/>
      <c r="AC43" s="3" t="s">
        <v>43</v>
      </c>
      <c r="AD43" s="15"/>
      <c r="AE43" s="15"/>
      <c r="AF43" s="15"/>
      <c r="AG43" s="15"/>
      <c r="AH43" s="15"/>
      <c r="AI43" s="15"/>
      <c r="AJ43" s="15"/>
    </row>
    <row r="44" spans="4:36" x14ac:dyDescent="0.2">
      <c r="D44" s="1"/>
      <c r="E44" s="1"/>
      <c r="F44" s="1"/>
      <c r="G44" s="1"/>
      <c r="H44" s="1"/>
      <c r="I44" s="1"/>
      <c r="J44" s="1"/>
      <c r="K44" s="1"/>
      <c r="AD44" s="15"/>
      <c r="AE44" s="15"/>
      <c r="AF44" s="15"/>
      <c r="AG44" s="15"/>
      <c r="AH44" s="15"/>
      <c r="AI44" s="15"/>
      <c r="AJ44" s="15"/>
    </row>
    <row r="45" spans="4:36" x14ac:dyDescent="0.2">
      <c r="D45" s="1"/>
      <c r="E45" s="1"/>
      <c r="F45" s="1"/>
      <c r="G45" s="1"/>
      <c r="H45" s="1"/>
      <c r="I45" s="1"/>
      <c r="J45" s="1"/>
      <c r="K45" s="1"/>
      <c r="AD45" s="15"/>
      <c r="AE45" s="15"/>
      <c r="AF45" s="15"/>
      <c r="AG45" s="15"/>
      <c r="AH45" s="15"/>
      <c r="AI45" s="15"/>
      <c r="AJ45" s="15"/>
    </row>
    <row r="46" spans="4:36" x14ac:dyDescent="0.2">
      <c r="D46" s="1"/>
      <c r="E46" s="1"/>
      <c r="F46" s="1"/>
      <c r="G46" s="1"/>
      <c r="H46" s="1"/>
      <c r="I46" s="1"/>
      <c r="J46" s="1"/>
      <c r="K46" s="1"/>
      <c r="AD46" s="15"/>
      <c r="AE46" s="15"/>
      <c r="AF46" s="15"/>
      <c r="AG46" s="15"/>
      <c r="AH46" s="15"/>
      <c r="AI46" s="15"/>
      <c r="AJ46" s="15"/>
    </row>
    <row r="47" spans="4:36" x14ac:dyDescent="0.2">
      <c r="D47" s="1"/>
      <c r="E47" s="1"/>
      <c r="F47" s="1"/>
      <c r="G47" s="1"/>
      <c r="H47" s="1"/>
      <c r="I47" s="1"/>
      <c r="J47" s="1"/>
      <c r="K47" s="1"/>
      <c r="AD47" s="15"/>
      <c r="AE47" s="15"/>
      <c r="AF47" s="15"/>
      <c r="AG47" s="15"/>
      <c r="AH47" s="15"/>
      <c r="AI47" s="15"/>
      <c r="AJ47" s="15"/>
    </row>
    <row r="48" spans="4:36" x14ac:dyDescent="0.2">
      <c r="D48" s="1"/>
      <c r="E48" s="1"/>
      <c r="F48" s="1"/>
      <c r="G48" s="1"/>
      <c r="H48" s="1"/>
      <c r="I48" s="1"/>
      <c r="J48" s="1"/>
      <c r="K48" s="1"/>
      <c r="AD48" s="15"/>
      <c r="AE48" s="15"/>
      <c r="AF48" s="15"/>
      <c r="AG48" s="15"/>
      <c r="AH48" s="15"/>
      <c r="AI48" s="15"/>
      <c r="AJ48" s="15"/>
    </row>
    <row r="49" spans="4:36" x14ac:dyDescent="0.2">
      <c r="D49" s="1"/>
      <c r="E49" s="1"/>
      <c r="F49" s="1"/>
      <c r="G49" s="1"/>
      <c r="H49" s="1"/>
      <c r="I49" s="1"/>
      <c r="J49" s="1"/>
      <c r="K49" s="1"/>
      <c r="AD49" s="15"/>
      <c r="AE49" s="15"/>
      <c r="AF49" s="15"/>
      <c r="AG49" s="15"/>
      <c r="AH49" s="15"/>
      <c r="AI49" s="15"/>
      <c r="AJ49" s="15"/>
    </row>
    <row r="50" spans="4:36" x14ac:dyDescent="0.2">
      <c r="D50" s="1"/>
      <c r="E50" s="1"/>
      <c r="F50" s="1"/>
      <c r="G50" s="1"/>
      <c r="H50" s="1"/>
      <c r="I50" s="1"/>
      <c r="J50" s="1"/>
      <c r="K50" s="1"/>
      <c r="AD50" s="15"/>
      <c r="AE50" s="15"/>
      <c r="AF50" s="15"/>
      <c r="AG50" s="15"/>
      <c r="AH50" s="15"/>
      <c r="AI50" s="15"/>
      <c r="AJ50" s="15"/>
    </row>
    <row r="51" spans="4:36" x14ac:dyDescent="0.2">
      <c r="D51" s="1"/>
      <c r="E51" s="1"/>
      <c r="F51" s="1"/>
      <c r="G51" s="1"/>
      <c r="H51" s="1"/>
      <c r="I51" s="1"/>
      <c r="J51" s="1"/>
      <c r="K51" s="1"/>
      <c r="AD51" s="15"/>
      <c r="AE51" s="15"/>
      <c r="AF51" s="15"/>
      <c r="AG51" s="15"/>
      <c r="AH51" s="15"/>
      <c r="AI51" s="15"/>
      <c r="AJ51" s="15"/>
    </row>
    <row r="52" spans="4:36" x14ac:dyDescent="0.2">
      <c r="D52" s="1"/>
      <c r="E52" s="1"/>
      <c r="F52" s="1"/>
      <c r="G52" s="1"/>
      <c r="H52" s="1"/>
      <c r="I52" s="1"/>
      <c r="J52" s="1"/>
      <c r="K52" s="1"/>
      <c r="AD52" s="15"/>
      <c r="AE52" s="15"/>
      <c r="AF52" s="15"/>
      <c r="AG52" s="15"/>
      <c r="AH52" s="15"/>
      <c r="AI52" s="15"/>
      <c r="AJ52" s="15"/>
    </row>
    <row r="53" spans="4:36" x14ac:dyDescent="0.2">
      <c r="D53" s="1"/>
      <c r="E53" s="1"/>
      <c r="F53" s="1"/>
      <c r="G53" s="1"/>
      <c r="H53" s="1"/>
      <c r="I53" s="1"/>
      <c r="J53" s="1"/>
      <c r="K53" s="1"/>
      <c r="AD53" s="15"/>
      <c r="AE53" s="15"/>
      <c r="AF53" s="15"/>
      <c r="AG53" s="15"/>
      <c r="AH53" s="15"/>
      <c r="AI53" s="15"/>
      <c r="AJ53" s="15"/>
    </row>
    <row r="54" spans="4:36" x14ac:dyDescent="0.2">
      <c r="D54" s="1"/>
      <c r="E54" s="1"/>
      <c r="F54" s="1"/>
      <c r="G54" s="1"/>
      <c r="H54" s="1"/>
      <c r="I54" s="1"/>
      <c r="J54" s="1"/>
      <c r="K54" s="1"/>
      <c r="AD54" s="15"/>
      <c r="AE54" s="15"/>
      <c r="AF54" s="15"/>
      <c r="AG54" s="15"/>
      <c r="AH54" s="15"/>
      <c r="AI54" s="15"/>
      <c r="AJ54" s="15"/>
    </row>
    <row r="55" spans="4:36" x14ac:dyDescent="0.2">
      <c r="D55" s="1"/>
      <c r="E55" s="1"/>
      <c r="F55" s="1"/>
      <c r="G55" s="1"/>
      <c r="H55" s="1"/>
      <c r="I55" s="1"/>
      <c r="J55" s="1"/>
      <c r="K55" s="1"/>
      <c r="AD55" s="15"/>
      <c r="AE55" s="15"/>
      <c r="AF55" s="15"/>
      <c r="AG55" s="15"/>
      <c r="AH55" s="15"/>
      <c r="AI55" s="15"/>
      <c r="AJ55" s="15"/>
    </row>
    <row r="56" spans="4:36" x14ac:dyDescent="0.2">
      <c r="D56" s="1"/>
      <c r="E56" s="1"/>
      <c r="F56" s="1"/>
      <c r="G56" s="1"/>
      <c r="H56" s="1"/>
      <c r="I56" s="1"/>
      <c r="J56" s="1"/>
      <c r="K56" s="1"/>
      <c r="AD56" s="15"/>
      <c r="AE56" s="15"/>
      <c r="AF56" s="15"/>
      <c r="AG56" s="15"/>
      <c r="AH56" s="15"/>
      <c r="AI56" s="15"/>
      <c r="AJ56" s="15"/>
    </row>
    <row r="57" spans="4:36" x14ac:dyDescent="0.2">
      <c r="D57" s="1"/>
      <c r="E57" s="1"/>
      <c r="F57" s="1"/>
      <c r="G57" s="1"/>
      <c r="H57" s="1"/>
      <c r="I57" s="1"/>
      <c r="J57" s="1"/>
      <c r="K57" s="1"/>
      <c r="AD57" s="15"/>
      <c r="AE57" s="15"/>
      <c r="AF57" s="15"/>
      <c r="AG57" s="15"/>
      <c r="AH57" s="15"/>
      <c r="AI57" s="15"/>
      <c r="AJ57" s="15"/>
    </row>
    <row r="58" spans="4:36" x14ac:dyDescent="0.2">
      <c r="D58" s="1"/>
      <c r="E58" s="1"/>
      <c r="F58" s="1"/>
      <c r="G58" s="1"/>
      <c r="H58" s="1"/>
      <c r="I58" s="1"/>
      <c r="J58" s="1"/>
      <c r="K58" s="1"/>
      <c r="AD58" s="15"/>
      <c r="AE58" s="15"/>
      <c r="AF58" s="15"/>
      <c r="AG58" s="15"/>
      <c r="AH58" s="15"/>
      <c r="AI58" s="15"/>
      <c r="AJ58" s="15"/>
    </row>
    <row r="59" spans="4:36" x14ac:dyDescent="0.2">
      <c r="D59" s="1"/>
      <c r="E59" s="1"/>
      <c r="F59" s="1"/>
      <c r="G59" s="1"/>
      <c r="H59" s="1"/>
      <c r="I59" s="1"/>
      <c r="J59" s="1"/>
      <c r="K59" s="1"/>
      <c r="L59" s="1"/>
      <c r="M59" s="1"/>
      <c r="AD59" s="15"/>
      <c r="AE59" s="15"/>
      <c r="AF59" s="15"/>
      <c r="AG59" s="15"/>
      <c r="AH59" s="15"/>
      <c r="AI59" s="15"/>
      <c r="AJ59" s="15"/>
    </row>
    <row r="60" spans="4:36" x14ac:dyDescent="0.2">
      <c r="D60" s="1"/>
      <c r="E60" s="1"/>
      <c r="F60" s="1"/>
      <c r="G60" s="1"/>
      <c r="H60" s="1"/>
      <c r="I60" s="1"/>
      <c r="J60" s="1"/>
      <c r="K60" s="1"/>
      <c r="L60" s="1"/>
      <c r="M60" s="1"/>
      <c r="AD60" s="15"/>
      <c r="AE60" s="15"/>
      <c r="AF60" s="15"/>
      <c r="AG60" s="15"/>
      <c r="AH60" s="15"/>
      <c r="AI60" s="15"/>
      <c r="AJ60" s="15"/>
    </row>
    <row r="61" spans="4:36" x14ac:dyDescent="0.2">
      <c r="D61" s="1"/>
      <c r="E61" s="1"/>
      <c r="F61" s="1"/>
      <c r="G61" s="1"/>
      <c r="H61" s="1"/>
      <c r="I61" s="1"/>
      <c r="J61" s="1"/>
      <c r="K61" s="1"/>
      <c r="L61" s="1"/>
      <c r="M61" s="1"/>
      <c r="AD61" s="15"/>
      <c r="AE61" s="15"/>
      <c r="AF61" s="15"/>
      <c r="AG61" s="15"/>
      <c r="AH61" s="15"/>
      <c r="AI61" s="15"/>
      <c r="AJ61" s="15"/>
    </row>
    <row r="62" spans="4:36" x14ac:dyDescent="0.2">
      <c r="D62" s="1"/>
      <c r="E62" s="1"/>
      <c r="F62" s="1"/>
      <c r="G62" s="1"/>
      <c r="H62" s="1"/>
      <c r="I62" s="1"/>
      <c r="J62" s="1"/>
      <c r="K62" s="1"/>
      <c r="L62" s="1"/>
      <c r="M62" s="1"/>
      <c r="AD62" s="15"/>
      <c r="AE62" s="15"/>
      <c r="AF62" s="15"/>
      <c r="AG62" s="15"/>
      <c r="AH62" s="15"/>
      <c r="AI62" s="15"/>
      <c r="AJ62" s="15"/>
    </row>
    <row r="63" spans="4:36" x14ac:dyDescent="0.2">
      <c r="D63" s="1"/>
      <c r="E63" s="1"/>
      <c r="F63" s="1"/>
      <c r="G63" s="1"/>
      <c r="H63" s="1"/>
      <c r="I63" s="1"/>
      <c r="J63" s="1"/>
      <c r="K63" s="1"/>
      <c r="L63" s="1"/>
      <c r="M63" s="1"/>
      <c r="AD63" s="15"/>
      <c r="AE63" s="15"/>
      <c r="AF63" s="15"/>
      <c r="AG63" s="15"/>
      <c r="AH63" s="15"/>
      <c r="AI63" s="15"/>
      <c r="AJ63" s="15"/>
    </row>
    <row r="64" spans="4:36" x14ac:dyDescent="0.2">
      <c r="D64" s="1"/>
      <c r="E64" s="1"/>
      <c r="F64" s="1"/>
      <c r="G64" s="1"/>
      <c r="H64" s="1"/>
      <c r="I64" s="1"/>
      <c r="J64" s="1"/>
      <c r="K64" s="1"/>
      <c r="L64" s="1"/>
      <c r="M64" s="1"/>
      <c r="AD64" s="15"/>
      <c r="AE64" s="15"/>
      <c r="AF64" s="15"/>
      <c r="AG64" s="15"/>
      <c r="AH64" s="15"/>
      <c r="AI64" s="15"/>
      <c r="AJ64" s="15"/>
    </row>
    <row r="65" spans="4:36" x14ac:dyDescent="0.2">
      <c r="D65" s="1"/>
      <c r="E65" s="1"/>
      <c r="F65" s="1"/>
      <c r="G65" s="1"/>
      <c r="H65" s="1"/>
      <c r="I65" s="1"/>
      <c r="J65" s="1"/>
      <c r="K65" s="1"/>
      <c r="L65" s="1"/>
      <c r="M65" s="1"/>
      <c r="AD65" s="15"/>
      <c r="AE65" s="15"/>
      <c r="AF65" s="15"/>
      <c r="AG65" s="15"/>
      <c r="AH65" s="15"/>
      <c r="AI65" s="15"/>
      <c r="AJ65" s="15"/>
    </row>
    <row r="66" spans="4:36" x14ac:dyDescent="0.2">
      <c r="D66" s="1"/>
      <c r="E66" s="1"/>
      <c r="F66" s="1"/>
      <c r="G66" s="1"/>
      <c r="H66" s="1"/>
      <c r="I66" s="1"/>
      <c r="J66" s="1"/>
      <c r="K66" s="1"/>
      <c r="L66" s="1"/>
      <c r="M66" s="1"/>
      <c r="AD66" s="15"/>
      <c r="AE66" s="15"/>
      <c r="AF66" s="15"/>
      <c r="AG66" s="15"/>
      <c r="AH66" s="15"/>
      <c r="AI66" s="15"/>
      <c r="AJ66" s="15"/>
    </row>
    <row r="67" spans="4:36" x14ac:dyDescent="0.2">
      <c r="D67" s="1"/>
      <c r="E67" s="1"/>
      <c r="F67" s="1"/>
      <c r="G67" s="1"/>
      <c r="H67" s="1"/>
      <c r="I67" s="1"/>
      <c r="J67" s="1"/>
      <c r="K67" s="1"/>
      <c r="L67" s="1"/>
      <c r="M67" s="1"/>
      <c r="AD67" s="15"/>
      <c r="AE67" s="15"/>
      <c r="AF67" s="15"/>
      <c r="AG67" s="15"/>
      <c r="AH67" s="15"/>
      <c r="AI67" s="15"/>
      <c r="AJ67" s="15"/>
    </row>
    <row r="68" spans="4:36" x14ac:dyDescent="0.2">
      <c r="D68" s="1"/>
      <c r="E68" s="1"/>
      <c r="F68" s="1"/>
      <c r="G68" s="1"/>
      <c r="H68" s="1"/>
      <c r="I68" s="1"/>
      <c r="J68" s="1"/>
      <c r="K68" s="1"/>
      <c r="L68" s="1"/>
      <c r="M68" s="1"/>
      <c r="AD68" s="15"/>
      <c r="AE68" s="15"/>
      <c r="AF68" s="15"/>
      <c r="AG68" s="15"/>
      <c r="AH68" s="15"/>
      <c r="AI68" s="15"/>
      <c r="AJ68" s="15"/>
    </row>
    <row r="69" spans="4:36" x14ac:dyDescent="0.2">
      <c r="D69" s="1"/>
      <c r="E69" s="1"/>
      <c r="F69" s="1"/>
      <c r="G69" s="1"/>
      <c r="H69" s="1"/>
      <c r="I69" s="1"/>
      <c r="J69" s="1"/>
      <c r="K69" s="1"/>
      <c r="L69" s="1"/>
      <c r="M69" s="1"/>
      <c r="AD69" s="15"/>
      <c r="AE69" s="15"/>
      <c r="AF69" s="15"/>
      <c r="AG69" s="15"/>
      <c r="AH69" s="15"/>
      <c r="AI69" s="15"/>
      <c r="AJ69" s="15"/>
    </row>
    <row r="70" spans="4:36" x14ac:dyDescent="0.2">
      <c r="D70" s="1"/>
      <c r="E70" s="1"/>
      <c r="F70" s="1"/>
      <c r="G70" s="1"/>
      <c r="H70" s="1"/>
      <c r="I70" s="1"/>
      <c r="J70" s="1"/>
      <c r="K70" s="1"/>
      <c r="L70" s="1"/>
      <c r="M70" s="1"/>
      <c r="AD70" s="15"/>
      <c r="AE70" s="15"/>
      <c r="AF70" s="15"/>
      <c r="AG70" s="15"/>
      <c r="AH70" s="15"/>
      <c r="AI70" s="15"/>
      <c r="AJ70" s="15"/>
    </row>
    <row r="71" spans="4:36" x14ac:dyDescent="0.2">
      <c r="D71" s="1"/>
      <c r="E71" s="1"/>
      <c r="F71" s="1"/>
      <c r="G71" s="1"/>
      <c r="H71" s="1"/>
      <c r="I71" s="1"/>
      <c r="J71" s="1"/>
      <c r="K71" s="1"/>
      <c r="L71" s="1"/>
      <c r="M71" s="1"/>
      <c r="AD71" s="15"/>
      <c r="AE71" s="15"/>
      <c r="AF71" s="15"/>
      <c r="AG71" s="15"/>
      <c r="AH71" s="15"/>
      <c r="AI71" s="15"/>
      <c r="AJ71" s="15"/>
    </row>
    <row r="72" spans="4:36" x14ac:dyDescent="0.2">
      <c r="D72" s="1"/>
      <c r="E72" s="1"/>
      <c r="F72" s="1"/>
      <c r="G72" s="1"/>
      <c r="H72" s="1"/>
      <c r="I72" s="1"/>
      <c r="J72" s="1"/>
      <c r="K72" s="1"/>
      <c r="L72" s="1"/>
      <c r="M72" s="1"/>
      <c r="AD72" s="15"/>
      <c r="AE72" s="15"/>
      <c r="AF72" s="15"/>
      <c r="AG72" s="15"/>
      <c r="AH72" s="15"/>
      <c r="AI72" s="15"/>
      <c r="AJ72" s="15"/>
    </row>
    <row r="73" spans="4:36" x14ac:dyDescent="0.2">
      <c r="D73" s="1"/>
      <c r="E73" s="1"/>
      <c r="F73" s="1"/>
      <c r="G73" s="1"/>
      <c r="H73" s="1"/>
      <c r="I73" s="1"/>
      <c r="J73" s="1"/>
      <c r="K73" s="1"/>
      <c r="L73" s="1"/>
      <c r="M73" s="1"/>
      <c r="AD73" s="15"/>
      <c r="AE73" s="15"/>
      <c r="AF73" s="15"/>
      <c r="AG73" s="15"/>
      <c r="AH73" s="15"/>
      <c r="AI73" s="15"/>
      <c r="AJ73" s="15"/>
    </row>
    <row r="74" spans="4:36" x14ac:dyDescent="0.2">
      <c r="D74" s="1"/>
      <c r="E74" s="1"/>
      <c r="F74" s="1"/>
      <c r="G74" s="1"/>
      <c r="H74" s="1"/>
      <c r="I74" s="1"/>
      <c r="J74" s="1"/>
      <c r="K74" s="1"/>
      <c r="L74" s="1"/>
      <c r="M74" s="1"/>
      <c r="AD74" s="15"/>
      <c r="AE74" s="15"/>
      <c r="AF74" s="15"/>
      <c r="AG74" s="15"/>
      <c r="AH74" s="15"/>
      <c r="AI74" s="15"/>
      <c r="AJ74" s="15"/>
    </row>
    <row r="75" spans="4:36" x14ac:dyDescent="0.2">
      <c r="D75" s="1"/>
      <c r="E75" s="1"/>
      <c r="F75" s="1"/>
      <c r="G75" s="1"/>
      <c r="H75" s="1"/>
      <c r="I75" s="1"/>
      <c r="J75" s="1"/>
      <c r="K75" s="1"/>
      <c r="L75" s="1"/>
      <c r="M75" s="1"/>
      <c r="AD75" s="15"/>
      <c r="AE75" s="15"/>
      <c r="AF75" s="15"/>
      <c r="AG75" s="15"/>
      <c r="AH75" s="15"/>
      <c r="AI75" s="15"/>
      <c r="AJ75" s="15"/>
    </row>
    <row r="76" spans="4:36" x14ac:dyDescent="0.2">
      <c r="D76" s="1"/>
      <c r="E76" s="1"/>
      <c r="F76" s="1"/>
      <c r="G76" s="1"/>
      <c r="H76" s="1"/>
      <c r="I76" s="1"/>
      <c r="J76" s="1"/>
      <c r="K76" s="1"/>
      <c r="L76" s="1"/>
      <c r="M76" s="1"/>
      <c r="AD76" s="15"/>
      <c r="AE76" s="15"/>
      <c r="AF76" s="15"/>
      <c r="AG76" s="15"/>
      <c r="AH76" s="15"/>
      <c r="AI76" s="15"/>
      <c r="AJ76" s="15"/>
    </row>
    <row r="77" spans="4:36" x14ac:dyDescent="0.2">
      <c r="D77" s="1"/>
      <c r="E77" s="1"/>
      <c r="F77" s="1"/>
      <c r="G77" s="1"/>
      <c r="H77" s="1"/>
      <c r="I77" s="1"/>
      <c r="J77" s="1"/>
      <c r="K77" s="1"/>
      <c r="L77" s="1"/>
      <c r="M77" s="1"/>
      <c r="AD77" s="15"/>
      <c r="AE77" s="15"/>
      <c r="AF77" s="15"/>
      <c r="AG77" s="15"/>
      <c r="AH77" s="15"/>
      <c r="AI77" s="15"/>
      <c r="AJ77" s="15"/>
    </row>
    <row r="78" spans="4:36" x14ac:dyDescent="0.2">
      <c r="D78" s="1"/>
      <c r="E78" s="1"/>
      <c r="F78" s="1"/>
      <c r="G78" s="1"/>
      <c r="H78" s="1"/>
      <c r="I78" s="1"/>
      <c r="J78" s="1"/>
      <c r="K78" s="1"/>
      <c r="L78" s="1"/>
      <c r="M78" s="1"/>
      <c r="AD78" s="15"/>
      <c r="AE78" s="15"/>
      <c r="AF78" s="15"/>
      <c r="AG78" s="15"/>
      <c r="AH78" s="15"/>
      <c r="AI78" s="15"/>
      <c r="AJ78" s="15"/>
    </row>
    <row r="79" spans="4:36" x14ac:dyDescent="0.2">
      <c r="D79" s="1"/>
      <c r="E79" s="1"/>
      <c r="F79" s="1"/>
      <c r="G79" s="1"/>
      <c r="H79" s="1"/>
      <c r="I79" s="1"/>
      <c r="J79" s="1"/>
      <c r="K79" s="1"/>
      <c r="L79" s="1"/>
      <c r="M79" s="1"/>
      <c r="AD79" s="15"/>
      <c r="AE79" s="15"/>
      <c r="AF79" s="15"/>
      <c r="AG79" s="15"/>
      <c r="AH79" s="15"/>
      <c r="AI79" s="15"/>
      <c r="AJ79" s="15"/>
    </row>
    <row r="80" spans="4:36" x14ac:dyDescent="0.2">
      <c r="D80" s="1"/>
      <c r="E80" s="1"/>
      <c r="F80" s="1"/>
      <c r="G80" s="1"/>
      <c r="H80" s="1"/>
      <c r="I80" s="1"/>
      <c r="J80" s="1"/>
      <c r="K80" s="1"/>
      <c r="L80" s="1"/>
      <c r="M80" s="1"/>
      <c r="AD80" s="15"/>
      <c r="AE80" s="15"/>
      <c r="AF80" s="15"/>
      <c r="AG80" s="15"/>
      <c r="AH80" s="15"/>
      <c r="AI80" s="15"/>
      <c r="AJ80" s="15"/>
    </row>
    <row r="81" spans="4:36" x14ac:dyDescent="0.2">
      <c r="D81" s="1"/>
      <c r="E81" s="1"/>
      <c r="F81" s="1"/>
      <c r="G81" s="1"/>
      <c r="H81" s="1"/>
      <c r="I81" s="1"/>
      <c r="J81" s="1"/>
      <c r="K81" s="1"/>
      <c r="L81" s="1"/>
      <c r="M81" s="1"/>
      <c r="AD81" s="15"/>
      <c r="AE81" s="15"/>
      <c r="AF81" s="15"/>
      <c r="AG81" s="15"/>
      <c r="AH81" s="15"/>
      <c r="AI81" s="15"/>
      <c r="AJ81" s="15"/>
    </row>
    <row r="82" spans="4:36" x14ac:dyDescent="0.2">
      <c r="D82" s="1"/>
      <c r="E82" s="1"/>
      <c r="F82" s="1"/>
      <c r="G82" s="1"/>
      <c r="H82" s="1"/>
      <c r="I82" s="1"/>
      <c r="J82" s="1"/>
      <c r="K82" s="1"/>
      <c r="L82" s="1"/>
      <c r="M82" s="1"/>
      <c r="AD82" s="15"/>
      <c r="AE82" s="15"/>
      <c r="AF82" s="15"/>
      <c r="AG82" s="15"/>
      <c r="AH82" s="15"/>
      <c r="AI82" s="15"/>
      <c r="AJ82" s="15"/>
    </row>
    <row r="83" spans="4:36" x14ac:dyDescent="0.2">
      <c r="D83" s="1"/>
      <c r="E83" s="1"/>
      <c r="F83" s="1"/>
      <c r="G83" s="1"/>
      <c r="H83" s="1"/>
      <c r="I83" s="1"/>
      <c r="J83" s="1"/>
      <c r="K83" s="1"/>
      <c r="L83" s="1"/>
      <c r="M83" s="1"/>
      <c r="AD83" s="15"/>
      <c r="AE83" s="15"/>
      <c r="AF83" s="15"/>
      <c r="AG83" s="15"/>
      <c r="AH83" s="15"/>
      <c r="AI83" s="15"/>
      <c r="AJ83" s="15"/>
    </row>
    <row r="84" spans="4:36" x14ac:dyDescent="0.2">
      <c r="D84" s="1"/>
      <c r="E84" s="1"/>
      <c r="F84" s="1"/>
      <c r="G84" s="1"/>
      <c r="H84" s="1"/>
      <c r="I84" s="1"/>
      <c r="J84" s="1"/>
      <c r="K84" s="1"/>
      <c r="L84" s="1"/>
      <c r="M84" s="1"/>
      <c r="AD84" s="15"/>
      <c r="AE84" s="15"/>
      <c r="AF84" s="15"/>
      <c r="AG84" s="15"/>
      <c r="AH84" s="15"/>
      <c r="AI84" s="15"/>
      <c r="AJ84" s="15"/>
    </row>
    <row r="85" spans="4:36" x14ac:dyDescent="0.2">
      <c r="D85" s="1"/>
      <c r="E85" s="1"/>
      <c r="F85" s="1"/>
      <c r="G85" s="1"/>
      <c r="H85" s="1"/>
      <c r="I85" s="1"/>
      <c r="J85" s="1"/>
      <c r="K85" s="1"/>
      <c r="L85" s="1"/>
      <c r="M85" s="1"/>
      <c r="AD85" s="15"/>
      <c r="AE85" s="15"/>
      <c r="AF85" s="15"/>
      <c r="AG85" s="15"/>
      <c r="AH85" s="15"/>
      <c r="AI85" s="15"/>
      <c r="AJ85" s="15"/>
    </row>
    <row r="86" spans="4:36" x14ac:dyDescent="0.2">
      <c r="D86" s="1"/>
      <c r="E86" s="1"/>
      <c r="F86" s="1"/>
      <c r="G86" s="1"/>
      <c r="H86" s="1"/>
      <c r="I86" s="1"/>
      <c r="J86" s="1"/>
      <c r="K86" s="1"/>
      <c r="L86" s="1"/>
      <c r="M86" s="1"/>
      <c r="AD86" s="15"/>
      <c r="AE86" s="15"/>
      <c r="AF86" s="15"/>
      <c r="AG86" s="15"/>
      <c r="AH86" s="15"/>
      <c r="AI86" s="15"/>
      <c r="AJ86" s="15"/>
    </row>
    <row r="87" spans="4:36" x14ac:dyDescent="0.2">
      <c r="D87" s="1"/>
      <c r="E87" s="1"/>
      <c r="F87" s="1"/>
      <c r="G87" s="1"/>
      <c r="H87" s="1"/>
      <c r="I87" s="1"/>
      <c r="J87" s="1"/>
      <c r="K87" s="1"/>
      <c r="L87" s="1"/>
      <c r="M87" s="1"/>
      <c r="AD87" s="15"/>
      <c r="AE87" s="15"/>
      <c r="AF87" s="15"/>
      <c r="AG87" s="15"/>
      <c r="AH87" s="15"/>
      <c r="AI87" s="15"/>
      <c r="AJ87" s="15"/>
    </row>
    <row r="88" spans="4:36" x14ac:dyDescent="0.2">
      <c r="D88" s="1"/>
      <c r="E88" s="1"/>
      <c r="F88" s="1"/>
      <c r="G88" s="1"/>
      <c r="H88" s="1"/>
      <c r="I88" s="1"/>
      <c r="J88" s="1"/>
      <c r="K88" s="1"/>
      <c r="L88" s="1"/>
      <c r="M88" s="1"/>
      <c r="AD88" s="15"/>
      <c r="AE88" s="15"/>
      <c r="AF88" s="15"/>
      <c r="AG88" s="15"/>
      <c r="AH88" s="15"/>
      <c r="AI88" s="15"/>
      <c r="AJ88" s="15"/>
    </row>
    <row r="89" spans="4:36" x14ac:dyDescent="0.2">
      <c r="D89" s="1"/>
      <c r="E89" s="1"/>
      <c r="F89" s="1"/>
      <c r="G89" s="1"/>
      <c r="H89" s="1"/>
      <c r="I89" s="1"/>
      <c r="J89" s="1"/>
      <c r="K89" s="1"/>
      <c r="L89" s="1"/>
      <c r="M89" s="1"/>
      <c r="AD89" s="15"/>
      <c r="AE89" s="15"/>
      <c r="AF89" s="15"/>
      <c r="AG89" s="15"/>
      <c r="AH89" s="15"/>
      <c r="AI89" s="15"/>
      <c r="AJ89" s="15"/>
    </row>
    <row r="90" spans="4:36" x14ac:dyDescent="0.2">
      <c r="D90" s="1"/>
      <c r="E90" s="1"/>
      <c r="F90" s="1"/>
      <c r="G90" s="1"/>
      <c r="H90" s="1"/>
      <c r="I90" s="1"/>
      <c r="J90" s="1"/>
      <c r="K90" s="1"/>
      <c r="L90" s="1"/>
      <c r="M90" s="1"/>
      <c r="AD90" s="15"/>
      <c r="AE90" s="15"/>
      <c r="AF90" s="15"/>
      <c r="AG90" s="15"/>
      <c r="AH90" s="15"/>
      <c r="AI90" s="15"/>
      <c r="AJ90" s="15"/>
    </row>
    <row r="91" spans="4:36" x14ac:dyDescent="0.2">
      <c r="D91" s="1"/>
      <c r="E91" s="1"/>
      <c r="F91" s="1"/>
      <c r="G91" s="1"/>
      <c r="H91" s="1"/>
      <c r="I91" s="1"/>
      <c r="J91" s="1"/>
      <c r="K91" s="1"/>
      <c r="L91" s="1"/>
      <c r="M91" s="1"/>
      <c r="AD91" s="15"/>
      <c r="AE91" s="15"/>
      <c r="AF91" s="15"/>
      <c r="AG91" s="15"/>
      <c r="AH91" s="15"/>
      <c r="AI91" s="15"/>
      <c r="AJ91" s="15"/>
    </row>
    <row r="92" spans="4:36" x14ac:dyDescent="0.2">
      <c r="D92" s="1"/>
      <c r="E92" s="1"/>
      <c r="F92" s="1"/>
      <c r="G92" s="1"/>
      <c r="H92" s="1"/>
      <c r="I92" s="1"/>
      <c r="J92" s="1"/>
      <c r="K92" s="1"/>
      <c r="L92" s="1"/>
      <c r="M92" s="1"/>
      <c r="AD92" s="15"/>
      <c r="AE92" s="15"/>
      <c r="AF92" s="15"/>
      <c r="AG92" s="15"/>
      <c r="AH92" s="15"/>
      <c r="AI92" s="15"/>
      <c r="AJ92" s="15"/>
    </row>
    <row r="93" spans="4:36" x14ac:dyDescent="0.2">
      <c r="D93" s="1"/>
      <c r="E93" s="1"/>
      <c r="F93" s="1"/>
      <c r="G93" s="1"/>
      <c r="H93" s="1"/>
      <c r="I93" s="1"/>
      <c r="J93" s="1"/>
      <c r="K93" s="1"/>
      <c r="L93" s="1"/>
      <c r="M93" s="1"/>
      <c r="AD93" s="15"/>
      <c r="AE93" s="15"/>
      <c r="AF93" s="15"/>
      <c r="AG93" s="15"/>
      <c r="AH93" s="15"/>
      <c r="AI93" s="15"/>
      <c r="AJ93" s="15"/>
    </row>
    <row r="94" spans="4:36" x14ac:dyDescent="0.2">
      <c r="D94" s="1"/>
      <c r="E94" s="1"/>
      <c r="F94" s="1"/>
      <c r="G94" s="1"/>
      <c r="H94" s="1"/>
      <c r="I94" s="1"/>
      <c r="J94" s="1"/>
      <c r="K94" s="1"/>
      <c r="L94" s="1"/>
      <c r="M94" s="1"/>
      <c r="AD94" s="15"/>
      <c r="AE94" s="15"/>
      <c r="AF94" s="15"/>
      <c r="AG94" s="15"/>
      <c r="AH94" s="15"/>
      <c r="AI94" s="15"/>
      <c r="AJ94" s="15"/>
    </row>
    <row r="95" spans="4:36" x14ac:dyDescent="0.2">
      <c r="D95" s="1"/>
      <c r="E95" s="1"/>
      <c r="F95" s="1"/>
      <c r="G95" s="1"/>
      <c r="H95" s="1"/>
      <c r="I95" s="1"/>
      <c r="J95" s="1"/>
      <c r="K95" s="1"/>
      <c r="L95" s="1"/>
      <c r="M95" s="1"/>
      <c r="AD95" s="15"/>
      <c r="AE95" s="15"/>
      <c r="AF95" s="15"/>
      <c r="AG95" s="15"/>
      <c r="AH95" s="15"/>
      <c r="AI95" s="15"/>
      <c r="AJ95" s="15"/>
    </row>
    <row r="96" spans="4:36" x14ac:dyDescent="0.2">
      <c r="D96" s="1"/>
      <c r="E96" s="1"/>
      <c r="F96" s="1"/>
      <c r="G96" s="1"/>
      <c r="H96" s="1"/>
      <c r="I96" s="1"/>
      <c r="J96" s="1"/>
      <c r="K96" s="1"/>
      <c r="L96" s="1"/>
      <c r="M96" s="1"/>
      <c r="AD96" s="15"/>
      <c r="AE96" s="15"/>
      <c r="AF96" s="15"/>
      <c r="AG96" s="15"/>
      <c r="AH96" s="15"/>
      <c r="AI96" s="15"/>
      <c r="AJ96" s="15"/>
    </row>
    <row r="97" spans="4:36" x14ac:dyDescent="0.2">
      <c r="D97" s="1"/>
      <c r="E97" s="1"/>
      <c r="F97" s="1"/>
      <c r="G97" s="1"/>
      <c r="H97" s="1"/>
      <c r="I97" s="1"/>
      <c r="J97" s="1"/>
      <c r="K97" s="1"/>
      <c r="L97" s="1"/>
      <c r="M97" s="1"/>
      <c r="AD97" s="15"/>
      <c r="AE97" s="15"/>
      <c r="AF97" s="15"/>
      <c r="AG97" s="15"/>
      <c r="AH97" s="15"/>
      <c r="AI97" s="15"/>
      <c r="AJ97" s="15"/>
    </row>
    <row r="98" spans="4:36" x14ac:dyDescent="0.2">
      <c r="D98" s="1"/>
      <c r="E98" s="1"/>
      <c r="F98" s="1"/>
      <c r="G98" s="1"/>
      <c r="H98" s="1"/>
      <c r="I98" s="1"/>
      <c r="J98" s="1"/>
      <c r="K98" s="1"/>
      <c r="L98" s="1"/>
      <c r="M98" s="1"/>
      <c r="AD98" s="15"/>
      <c r="AE98" s="15"/>
      <c r="AF98" s="15"/>
      <c r="AG98" s="15"/>
      <c r="AH98" s="15"/>
      <c r="AI98" s="15"/>
      <c r="AJ98" s="15"/>
    </row>
    <row r="99" spans="4:36" x14ac:dyDescent="0.2">
      <c r="D99" s="1"/>
      <c r="E99" s="1"/>
      <c r="F99" s="1"/>
      <c r="G99" s="1"/>
      <c r="H99" s="1"/>
      <c r="I99" s="1"/>
      <c r="J99" s="1"/>
      <c r="K99" s="1"/>
      <c r="L99" s="1"/>
      <c r="M99" s="1"/>
      <c r="AD99" s="15"/>
      <c r="AE99" s="15"/>
      <c r="AF99" s="15"/>
      <c r="AG99" s="15"/>
      <c r="AH99" s="15"/>
      <c r="AI99" s="15"/>
      <c r="AJ99" s="15"/>
    </row>
    <row r="100" spans="4:36" x14ac:dyDescent="0.2">
      <c r="D100" s="1"/>
      <c r="E100" s="1"/>
      <c r="F100" s="1"/>
      <c r="G100" s="1"/>
      <c r="H100" s="1"/>
      <c r="I100" s="1"/>
      <c r="J100" s="1"/>
      <c r="K100" s="1"/>
      <c r="L100" s="1"/>
      <c r="M100" s="1"/>
      <c r="AD100" s="15"/>
      <c r="AE100" s="15"/>
      <c r="AF100" s="15">
        <f t="shared" ref="AF100:AJ103" si="0">IF(AF10=F10,0,1)</f>
        <v>0</v>
      </c>
      <c r="AG100" s="15">
        <f t="shared" si="0"/>
        <v>0</v>
      </c>
      <c r="AH100" s="15">
        <f t="shared" si="0"/>
        <v>0</v>
      </c>
      <c r="AI100" s="15">
        <f t="shared" si="0"/>
        <v>0</v>
      </c>
      <c r="AJ100" s="15">
        <f t="shared" si="0"/>
        <v>0</v>
      </c>
    </row>
    <row r="101" spans="4:36" x14ac:dyDescent="0.2">
      <c r="D101" s="1"/>
      <c r="E101" s="1"/>
      <c r="F101" s="1"/>
      <c r="G101" s="1"/>
      <c r="H101" s="1"/>
      <c r="I101" s="1"/>
      <c r="J101" s="1"/>
      <c r="K101" s="1"/>
      <c r="L101" s="1"/>
      <c r="M101" s="1"/>
      <c r="AF101" s="15">
        <f t="shared" si="0"/>
        <v>0</v>
      </c>
      <c r="AG101" s="15">
        <f t="shared" si="0"/>
        <v>0</v>
      </c>
      <c r="AH101" s="15">
        <f t="shared" si="0"/>
        <v>0</v>
      </c>
      <c r="AI101" s="15">
        <f t="shared" si="0"/>
        <v>0</v>
      </c>
      <c r="AJ101" s="15">
        <f t="shared" si="0"/>
        <v>0</v>
      </c>
    </row>
    <row r="102" spans="4:36" x14ac:dyDescent="0.2">
      <c r="D102" s="1"/>
      <c r="E102" s="1"/>
      <c r="F102" s="1"/>
      <c r="G102" s="1"/>
      <c r="H102" s="1"/>
      <c r="I102" s="1"/>
      <c r="J102" s="1"/>
      <c r="K102" s="1"/>
      <c r="L102" s="1"/>
      <c r="M102" s="1"/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</row>
    <row r="103" spans="4:36" x14ac:dyDescent="0.2">
      <c r="D103" s="1"/>
      <c r="E103" s="1"/>
      <c r="F103" s="1"/>
      <c r="G103" s="1"/>
      <c r="H103" s="1"/>
      <c r="I103" s="1"/>
      <c r="J103" s="1"/>
      <c r="K103" s="1"/>
      <c r="L103" s="1"/>
      <c r="M103" s="1"/>
      <c r="AF103" s="15">
        <f t="shared" si="0"/>
        <v>0</v>
      </c>
      <c r="AG103" s="15">
        <f t="shared" si="0"/>
        <v>0</v>
      </c>
      <c r="AH103" s="15">
        <f t="shared" si="0"/>
        <v>0</v>
      </c>
      <c r="AI103" s="15">
        <f t="shared" si="0"/>
        <v>0</v>
      </c>
      <c r="AJ103" s="15">
        <f t="shared" si="0"/>
        <v>0</v>
      </c>
    </row>
    <row r="104" spans="4:36" x14ac:dyDescent="0.2">
      <c r="D104" s="1"/>
      <c r="E104" s="1"/>
      <c r="F104" s="1"/>
      <c r="G104" s="1"/>
      <c r="H104" s="1"/>
      <c r="I104" s="1"/>
      <c r="J104" s="1"/>
      <c r="K104" s="1"/>
      <c r="L104" s="1"/>
      <c r="M104" s="1"/>
    </row>
    <row r="105" spans="4:36" x14ac:dyDescent="0.2">
      <c r="D105" s="1"/>
      <c r="E105" s="1"/>
      <c r="F105" s="1"/>
      <c r="G105" s="1"/>
      <c r="H105" s="1"/>
      <c r="I105" s="1"/>
      <c r="J105" s="1"/>
      <c r="K105" s="1"/>
      <c r="L105" s="1"/>
      <c r="M105" s="1"/>
    </row>
    <row r="106" spans="4:36" x14ac:dyDescent="0.2">
      <c r="D106" s="1"/>
      <c r="E106" s="1"/>
      <c r="F106" s="1"/>
      <c r="G106" s="1"/>
      <c r="H106" s="1"/>
      <c r="I106" s="1"/>
      <c r="J106" s="1"/>
      <c r="K106" s="1"/>
      <c r="L106" s="1"/>
      <c r="M106" s="1"/>
    </row>
    <row r="107" spans="4:36" x14ac:dyDescent="0.2">
      <c r="D107" s="1"/>
      <c r="E107" s="1"/>
      <c r="F107" s="1"/>
      <c r="G107" s="1"/>
      <c r="H107" s="1"/>
      <c r="I107" s="1"/>
      <c r="J107" s="1"/>
      <c r="K107" s="1"/>
      <c r="L107" s="1"/>
      <c r="M107" s="1"/>
    </row>
    <row r="108" spans="4:36" x14ac:dyDescent="0.2">
      <c r="D108" s="1"/>
      <c r="E108" s="1"/>
      <c r="F108" s="1"/>
      <c r="G108" s="1"/>
      <c r="H108" s="1"/>
      <c r="I108" s="1"/>
      <c r="J108" s="1"/>
      <c r="K108" s="1"/>
      <c r="L108" s="1"/>
      <c r="M108" s="1"/>
    </row>
    <row r="109" spans="4:36" x14ac:dyDescent="0.2">
      <c r="D109" s="1"/>
      <c r="E109" s="1"/>
      <c r="F109" s="1"/>
      <c r="G109" s="1"/>
      <c r="H109" s="1"/>
      <c r="I109" s="1"/>
      <c r="J109" s="1"/>
      <c r="K109" s="1"/>
      <c r="L109" s="1"/>
      <c r="M109" s="1"/>
    </row>
    <row r="110" spans="4:36" x14ac:dyDescent="0.2">
      <c r="D110" s="1"/>
      <c r="E110" s="1"/>
      <c r="F110" s="1"/>
      <c r="G110" s="1"/>
      <c r="H110" s="1"/>
      <c r="I110" s="1"/>
      <c r="J110" s="1"/>
      <c r="K110" s="1"/>
      <c r="L110" s="1"/>
      <c r="M110" s="1"/>
    </row>
    <row r="111" spans="4:36" x14ac:dyDescent="0.2">
      <c r="D111" s="1"/>
      <c r="E111" s="1"/>
      <c r="F111" s="1"/>
      <c r="G111" s="1"/>
      <c r="H111" s="1"/>
      <c r="I111" s="1"/>
      <c r="J111" s="1"/>
      <c r="K111" s="1"/>
      <c r="L111" s="1"/>
      <c r="M111" s="1"/>
    </row>
    <row r="112" spans="4:36" x14ac:dyDescent="0.2">
      <c r="D112" s="1"/>
      <c r="E112" s="1"/>
      <c r="F112" s="1"/>
      <c r="G112" s="1"/>
      <c r="H112" s="1"/>
      <c r="I112" s="1"/>
      <c r="J112" s="1"/>
      <c r="K112" s="1"/>
      <c r="L112" s="1"/>
      <c r="M112" s="1"/>
    </row>
    <row r="113" spans="4:13" x14ac:dyDescent="0.2">
      <c r="D113" s="1"/>
      <c r="E113" s="1"/>
      <c r="F113" s="1"/>
      <c r="G113" s="1"/>
      <c r="H113" s="1"/>
      <c r="I113" s="1"/>
      <c r="J113" s="1"/>
      <c r="K113" s="1"/>
      <c r="L113" s="1"/>
      <c r="M113" s="1"/>
    </row>
    <row r="114" spans="4:13" x14ac:dyDescent="0.2">
      <c r="D114" s="1"/>
      <c r="E114" s="1"/>
      <c r="F114" s="1"/>
      <c r="G114" s="1"/>
      <c r="H114" s="1"/>
      <c r="I114" s="1"/>
      <c r="J114" s="1"/>
      <c r="K114" s="1"/>
      <c r="L114" s="1"/>
      <c r="M114" s="1"/>
    </row>
    <row r="115" spans="4:13" x14ac:dyDescent="0.2">
      <c r="D115" s="1"/>
      <c r="E115" s="1"/>
      <c r="F115" s="1"/>
      <c r="G115" s="1"/>
      <c r="H115" s="1"/>
      <c r="I115" s="1"/>
      <c r="J115" s="1"/>
      <c r="K115" s="1"/>
      <c r="L115" s="1"/>
      <c r="M115" s="1"/>
    </row>
    <row r="116" spans="4:13" x14ac:dyDescent="0.2">
      <c r="D116" s="1"/>
      <c r="E116" s="1"/>
      <c r="F116" s="1"/>
      <c r="G116" s="1"/>
      <c r="H116" s="1"/>
      <c r="I116" s="1"/>
      <c r="J116" s="1"/>
      <c r="K116" s="1"/>
      <c r="L116" s="1"/>
      <c r="M116" s="1"/>
    </row>
    <row r="117" spans="4:13" x14ac:dyDescent="0.2">
      <c r="D117" s="1"/>
      <c r="E117" s="1"/>
      <c r="F117" s="1"/>
      <c r="G117" s="1"/>
      <c r="H117" s="1"/>
      <c r="I117" s="1"/>
      <c r="J117" s="1"/>
      <c r="K117" s="1"/>
      <c r="L117" s="1"/>
      <c r="M117" s="1"/>
    </row>
    <row r="118" spans="4:13" x14ac:dyDescent="0.2">
      <c r="D118" s="1"/>
      <c r="E118" s="1"/>
      <c r="F118" s="1"/>
      <c r="G118" s="1"/>
      <c r="H118" s="1"/>
      <c r="I118" s="1"/>
      <c r="J118" s="1"/>
      <c r="K118" s="1"/>
      <c r="L118" s="1"/>
      <c r="M118" s="1"/>
    </row>
    <row r="119" spans="4:13" x14ac:dyDescent="0.2">
      <c r="D119" s="1"/>
      <c r="E119" s="1"/>
      <c r="F119" s="1"/>
      <c r="G119" s="1"/>
      <c r="H119" s="1"/>
      <c r="I119" s="1"/>
      <c r="J119" s="1"/>
      <c r="K119" s="1"/>
      <c r="L119" s="1"/>
      <c r="M119" s="1"/>
    </row>
    <row r="120" spans="4:13" x14ac:dyDescent="0.2">
      <c r="D120" s="1"/>
      <c r="E120" s="1"/>
      <c r="F120" s="1"/>
      <c r="G120" s="1"/>
      <c r="H120" s="1"/>
      <c r="I120" s="1"/>
      <c r="J120" s="1"/>
      <c r="K120" s="1"/>
      <c r="L120" s="1"/>
      <c r="M120" s="1"/>
    </row>
    <row r="121" spans="4:13" x14ac:dyDescent="0.2">
      <c r="D121" s="1"/>
      <c r="E121" s="1"/>
      <c r="F121" s="1"/>
      <c r="G121" s="1"/>
      <c r="H121" s="1"/>
      <c r="I121" s="1"/>
      <c r="J121" s="1"/>
      <c r="K121" s="1"/>
      <c r="L121" s="1"/>
      <c r="M121" s="1"/>
    </row>
    <row r="122" spans="4:13" x14ac:dyDescent="0.2">
      <c r="D122" s="1"/>
      <c r="E122" s="1"/>
      <c r="F122" s="1"/>
      <c r="G122" s="1"/>
      <c r="H122" s="1"/>
      <c r="I122" s="1"/>
      <c r="J122" s="1"/>
      <c r="K122" s="1"/>
      <c r="L122" s="1"/>
      <c r="M122" s="1"/>
    </row>
    <row r="123" spans="4:13" x14ac:dyDescent="0.2">
      <c r="D123" s="1"/>
      <c r="E123" s="1"/>
      <c r="F123" s="1"/>
      <c r="G123" s="1"/>
      <c r="H123" s="1"/>
      <c r="I123" s="1"/>
      <c r="J123" s="1"/>
      <c r="K123" s="1"/>
      <c r="L123" s="1"/>
      <c r="M123" s="1"/>
    </row>
  </sheetData>
  <sheetProtection password="D99C" sheet="1" objects="1" scenarios="1" selectLockedCells="1"/>
  <mergeCells count="12">
    <mergeCell ref="C8:C9"/>
    <mergeCell ref="D8:E8"/>
    <mergeCell ref="I1:M1"/>
    <mergeCell ref="AD9:AE9"/>
    <mergeCell ref="K8:K9"/>
    <mergeCell ref="F8:F9"/>
    <mergeCell ref="D9:E9"/>
    <mergeCell ref="I8:I9"/>
    <mergeCell ref="J8:J9"/>
    <mergeCell ref="H8:H9"/>
    <mergeCell ref="G8:G9"/>
    <mergeCell ref="F6:H6"/>
  </mergeCells>
  <phoneticPr fontId="2" type="noConversion"/>
  <conditionalFormatting sqref="AF10:AG18 AJ10:AJ18 I10:J15 AI13:AI14 AI16:AI17 AI10:AI11 F10:G15">
    <cfRule type="cellIs" dxfId="1" priority="1" stopIfTrue="1" operator="notEqual">
      <formula>AF10</formula>
    </cfRule>
  </conditionalFormatting>
  <conditionalFormatting sqref="AI18 AI15 AI12">
    <cfRule type="cellIs" dxfId="0" priority="2" stopIfTrue="1" operator="notEqual">
      <formula>BF12</formula>
    </cfRule>
  </conditionalFormatting>
  <dataValidations count="1">
    <dataValidation type="list" allowBlank="1" showInputMessage="1" showErrorMessage="1" sqref="F10:F15" xr:uid="{00000000-0002-0000-0100-000000000000}">
      <formula1>$AC$37:$AC$43</formula1>
    </dataValidation>
  </dataValidation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CDA11A-F9E7-484E-A723-7CE809F10BA0}">
  <ds:schemaRefs>
    <ds:schemaRef ds:uri="http://schemas.microsoft.com/office/2006/metadata/properties"/>
    <ds:schemaRef ds:uri="http://schemas.openxmlformats.org/package/2006/metadata/core-properties"/>
    <ds:schemaRef ds:uri="d5bf7610-0a90-45dc-b926-1b234e6c6756"/>
    <ds:schemaRef ds:uri="http://purl.org/dc/dcmitype/"/>
    <ds:schemaRef ds:uri="http://schemas.microsoft.com/office/infopath/2007/PartnerControls"/>
    <ds:schemaRef ds:uri="http://purl.org/dc/elements/1.1/"/>
    <ds:schemaRef ds:uri="d758baea-510e-4597-bb40-a09e4fc0f415"/>
    <ds:schemaRef ds:uri="http://schemas.microsoft.com/office/2006/documentManagement/typ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09DC429-8C84-4118-B0E2-7AA26757B1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E5BE79F-6226-438E-86D2-950E480988E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5-2 Reconciliation</vt:lpstr>
      <vt:lpstr>5-2 General Journal</vt:lpstr>
      <vt:lpstr>'5-2 General Journal'!Print_Area</vt:lpstr>
      <vt:lpstr>'5-2 Reconciliation'!Print_Area</vt:lpstr>
    </vt:vector>
  </TitlesOfParts>
  <Manager/>
  <Company>Mississippi State University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Mark Lehman</dc:creator>
  <cp:keywords/>
  <dc:description/>
  <cp:lastModifiedBy>PATIL, DHRUV</cp:lastModifiedBy>
  <cp:revision/>
  <dcterms:created xsi:type="dcterms:W3CDTF">2004-10-20T01:08:43Z</dcterms:created>
  <dcterms:modified xsi:type="dcterms:W3CDTF">2023-11-02T16:27:01Z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9100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