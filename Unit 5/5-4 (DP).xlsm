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5/"/>
    </mc:Choice>
  </mc:AlternateContent>
  <xr:revisionPtr revIDLastSave="70" documentId="8_{3ACD4BA8-9F26-49FB-B250-E9C7BBF3C035}" xr6:coauthVersionLast="47" xr6:coauthVersionMax="47" xr10:uidLastSave="{62E4EBB6-B8DF-4903-BD64-96C34ACC1EC6}"/>
  <bookViews>
    <workbookView xWindow="-120" yWindow="-120" windowWidth="21840" windowHeight="13140" xr2:uid="{00000000-000D-0000-FFFF-FFFF00000000}"/>
  </bookViews>
  <sheets>
    <sheet name="5-4 General Journal" sheetId="6" r:id="rId1"/>
  </sheets>
  <externalReferences>
    <externalReference r:id="rId2"/>
    <externalReference r:id="rId3"/>
  </externalReferences>
  <definedNames>
    <definedName name="answer2">'[1]General Ledger'!$B$9:$I$14,'[1]General Ledger'!$B$31:$I$34,'[1]General Ledger'!$B$41:$I$43,'[1]General Ledger'!$B$50:$I$51,'[1]General Ledger'!$B$60:$I$61,'[1]General Ledger'!$B$68:$I$69,'[1]General Ledger'!$B$75:$I$76</definedName>
    <definedName name="answer3">'[2]2-2 Accounts Receivable Ledger'!$B$7:$H$10,'[2]2-2 Accounts Receivable Ledger'!$B$17:$H$20,'[2]2-2 Accounts Receivable Ledger'!$B$27:$H$30</definedName>
    <definedName name="total2" localSheetId="0">'[1]General Ledger'!$D$24:$I$24,'[1]General Ledger'!#REF!,'[1]General Ledger'!#REF!,'[1]General Ledger'!#REF!,'[1]General Ledger'!$D$62:$I$62,'[1]General Ledger'!#REF!,'[1]General Ledger'!#REF!</definedName>
    <definedName name="total2">'[1]General Ledger'!$D$24:$I$24,'[1]General Ledger'!#REF!,'[1]General Ledger'!#REF!,'[1]General Ledger'!#REF!,'[1]General Ledger'!$D$62:$I$62,'[1]General Ledger'!#REF!,'[1]General Ledger'!#REF!</definedName>
    <definedName name="total3">'[2]2-2 Accounts Receivable Ledger'!$D$11:$H$11,'[2]2-2 Accounts Receivable Ledger'!$D$21:$H$21,'[2]2-2 Accounts Receivable Ledger'!$D$31:$H$31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4" i="6" l="1"/>
  <c r="H53" i="6"/>
  <c r="I65" i="6"/>
  <c r="I66" i="6" s="1"/>
  <c r="I67" i="6" s="1"/>
  <c r="I68" i="6" s="1"/>
  <c r="I69" i="6" s="1"/>
  <c r="I70" i="6" s="1"/>
  <c r="I71" i="6" s="1"/>
  <c r="I72" i="6" s="1"/>
  <c r="A65" i="6"/>
  <c r="A66" i="6" s="1"/>
  <c r="A67" i="6" s="1"/>
  <c r="A68" i="6" s="1"/>
  <c r="A69" i="6" s="1"/>
  <c r="A70" i="6" s="1"/>
  <c r="A71" i="6" s="1"/>
  <c r="A72" i="6" s="1"/>
  <c r="F38" i="6"/>
  <c r="I29" i="6"/>
  <c r="I30" i="6" s="1"/>
  <c r="I31" i="6" s="1"/>
  <c r="I32" i="6" s="1"/>
  <c r="I33" i="6" s="1"/>
  <c r="I34" i="6" s="1"/>
  <c r="I35" i="6" s="1"/>
  <c r="I36" i="6" s="1"/>
  <c r="A29" i="6"/>
  <c r="A30" i="6" s="1"/>
  <c r="A31" i="6" s="1"/>
  <c r="A32" i="6" s="1"/>
  <c r="A33" i="6" s="1"/>
  <c r="A34" i="6" s="1"/>
  <c r="A35" i="6" s="1"/>
  <c r="A36" i="6" s="1"/>
</calcChain>
</file>

<file path=xl/sharedStrings.xml><?xml version="1.0" encoding="utf-8"?>
<sst xmlns="http://schemas.openxmlformats.org/spreadsheetml/2006/main" count="95" uniqueCount="48">
  <si>
    <t>Accounting 1 work together &amp; on your own 5-4</t>
  </si>
  <si>
    <t>Name:</t>
  </si>
  <si>
    <t>page 146</t>
  </si>
  <si>
    <t>work together 5-4</t>
  </si>
  <si>
    <t>PETTY CASH REPORT</t>
  </si>
  <si>
    <t>Date:</t>
  </si>
  <si>
    <t>Custodian:</t>
  </si>
  <si>
    <t>Replenish</t>
  </si>
  <si>
    <t>Explanation</t>
  </si>
  <si>
    <t>Reconciliation</t>
  </si>
  <si>
    <t>Amount</t>
  </si>
  <si>
    <t>Fund Total</t>
  </si>
  <si>
    <t>Payments:</t>
  </si>
  <si>
    <t>Less:</t>
  </si>
  <si>
    <t>Total Payments</t>
  </si>
  <si>
    <t>Equals:</t>
  </si>
  <si>
    <t>Recorded amount on hand</t>
  </si>
  <si>
    <t>Actual Amount on hand</t>
  </si>
  <si>
    <t>Cash short (over)</t>
  </si>
  <si>
    <t>Amount to Replenish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</si>
  <si>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</si>
  <si>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</si>
  <si>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</si>
  <si>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</si>
  <si>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</si>
  <si>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</si>
  <si>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</si>
  <si>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</si>
  <si>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</si>
  <si>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</si>
  <si>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</si>
  <si>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on your own 5-4</t>
  </si>
  <si>
    <t>Dhruv Patil</t>
  </si>
  <si>
    <t>Postage Expense</t>
  </si>
  <si>
    <t>Miscellaneous Expense</t>
  </si>
  <si>
    <t>Dhruv</t>
  </si>
  <si>
    <t>Patil</t>
  </si>
  <si>
    <t>Nov</t>
  </si>
  <si>
    <t>Petty Cash</t>
  </si>
  <si>
    <t>Cash</t>
  </si>
  <si>
    <t>C64</t>
  </si>
  <si>
    <t xml:space="preserve">Nov </t>
  </si>
  <si>
    <t>Cash Short and Over</t>
  </si>
  <si>
    <t>C86</t>
  </si>
  <si>
    <t>Delivary Expense</t>
  </si>
  <si>
    <t>Apr</t>
  </si>
  <si>
    <t>C228</t>
  </si>
  <si>
    <t>C253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</si>
</sst>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$&quot;#,##0.00"/>
  </numFmts>
  <fonts count="9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sz val="6"/>
      <name val="Arial"/>
    </font>
    <font>
      <sz val="9"/>
      <name val="Arial"/>
    </font>
    <font>
      <sz val="11"/>
      <name val="Arial"/>
      <family val="2"/>
    </font>
    <font>
      <b/>
      <sz val="12"/>
      <name val="Arial"/>
      <family val="2"/>
    </font>
    <font>
      <b/>
      <sz val="12"/>
      <name val="Arial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1" xfId="0" applyFont="1" applyBorder="1"/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0" xfId="0" applyFont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6" xfId="0" applyFont="1" applyBorder="1"/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/>
    <xf numFmtId="0" fontId="4" fillId="0" borderId="11" xfId="0" applyFont="1" applyBorder="1"/>
    <xf numFmtId="0" fontId="6" fillId="0" borderId="12" xfId="0" applyFont="1" applyBorder="1" applyProtection="1"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43" fontId="6" fillId="0" borderId="13" xfId="1" applyFont="1" applyBorder="1" applyProtection="1">
      <protection locked="0"/>
    </xf>
    <xf numFmtId="0" fontId="4" fillId="0" borderId="14" xfId="0" applyFont="1" applyBorder="1" applyAlignment="1">
      <alignment horizontal="left"/>
    </xf>
    <xf numFmtId="0" fontId="4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43" fontId="6" fillId="0" borderId="17" xfId="1" applyFont="1" applyBorder="1" applyProtection="1">
      <protection locked="0"/>
    </xf>
    <xf numFmtId="0" fontId="4" fillId="0" borderId="18" xfId="0" applyFont="1" applyBorder="1" applyAlignment="1">
      <alignment horizontal="left"/>
    </xf>
    <xf numFmtId="0" fontId="4" fillId="0" borderId="19" xfId="0" applyFont="1" applyBorder="1"/>
    <xf numFmtId="0" fontId="6" fillId="0" borderId="20" xfId="0" applyFont="1" applyBorder="1" applyProtection="1">
      <protection locked="0"/>
    </xf>
    <xf numFmtId="0" fontId="6" fillId="0" borderId="21" xfId="0" applyFont="1" applyBorder="1" applyAlignment="1" applyProtection="1">
      <alignment horizontal="center"/>
      <protection locked="0"/>
    </xf>
    <xf numFmtId="0" fontId="6" fillId="0" borderId="21" xfId="0" applyFont="1" applyBorder="1" applyProtection="1">
      <protection locked="0"/>
    </xf>
    <xf numFmtId="43" fontId="6" fillId="0" borderId="21" xfId="1" applyFont="1" applyBorder="1" applyProtection="1">
      <protection locked="0"/>
    </xf>
    <xf numFmtId="0" fontId="4" fillId="0" borderId="22" xfId="0" applyFont="1" applyBorder="1" applyAlignment="1">
      <alignment horizontal="left"/>
    </xf>
    <xf numFmtId="0" fontId="7" fillId="0" borderId="0" xfId="0" applyFont="1" applyAlignment="1">
      <alignment horizontal="center"/>
    </xf>
    <xf numFmtId="0" fontId="6" fillId="0" borderId="17" xfId="0" applyFont="1" applyBorder="1" applyAlignment="1" applyProtection="1">
      <alignment horizontal="left" indent="1"/>
      <protection locked="0"/>
    </xf>
    <xf numFmtId="0" fontId="6" fillId="0" borderId="21" xfId="0" applyFont="1" applyBorder="1" applyAlignment="1" applyProtection="1">
      <alignment horizontal="left" indent="1"/>
      <protection locked="0"/>
    </xf>
    <xf numFmtId="0" fontId="7" fillId="0" borderId="1" xfId="0" applyFont="1" applyBorder="1"/>
    <xf numFmtId="0" fontId="6" fillId="0" borderId="13" xfId="0" applyFont="1" applyBorder="1" applyAlignment="1" applyProtection="1">
      <alignment horizontal="left"/>
      <protection locked="0"/>
    </xf>
    <xf numFmtId="0" fontId="3" fillId="0" borderId="23" xfId="0" applyFont="1" applyBorder="1"/>
    <xf numFmtId="0" fontId="3" fillId="0" borderId="24" xfId="0" applyFont="1" applyBorder="1"/>
    <xf numFmtId="0" fontId="3" fillId="0" borderId="25" xfId="0" applyFont="1" applyBorder="1"/>
    <xf numFmtId="0" fontId="3" fillId="0" borderId="26" xfId="0" applyFont="1" applyBorder="1"/>
    <xf numFmtId="0" fontId="3" fillId="0" borderId="12" xfId="0" applyFont="1" applyBorder="1"/>
    <xf numFmtId="0" fontId="3" fillId="0" borderId="27" xfId="0" applyFont="1" applyBorder="1"/>
    <xf numFmtId="0" fontId="3" fillId="0" borderId="27" xfId="0" applyFont="1" applyBorder="1" applyAlignment="1">
      <alignment horizontal="center"/>
    </xf>
    <xf numFmtId="0" fontId="3" fillId="0" borderId="28" xfId="0" applyFont="1" applyBorder="1"/>
    <xf numFmtId="0" fontId="3" fillId="0" borderId="12" xfId="0" applyFont="1" applyBorder="1" applyAlignment="1">
      <alignment horizontal="center"/>
    </xf>
    <xf numFmtId="0" fontId="3" fillId="2" borderId="0" xfId="0" applyFont="1" applyFill="1"/>
    <xf numFmtId="43" fontId="3" fillId="0" borderId="24" xfId="1" applyFont="1" applyBorder="1" applyAlignment="1"/>
    <xf numFmtId="164" fontId="3" fillId="2" borderId="24" xfId="0" applyNumberFormat="1" applyFont="1" applyFill="1" applyBorder="1"/>
    <xf numFmtId="0" fontId="3" fillId="2" borderId="27" xfId="0" applyFont="1" applyFill="1" applyBorder="1"/>
    <xf numFmtId="43" fontId="3" fillId="0" borderId="30" xfId="1" applyFont="1" applyBorder="1" applyAlignment="1">
      <alignment horizontal="center"/>
    </xf>
    <xf numFmtId="43" fontId="3" fillId="0" borderId="33" xfId="1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43" fontId="3" fillId="0" borderId="1" xfId="1" applyFont="1" applyBorder="1" applyAlignment="1"/>
    <xf numFmtId="43" fontId="3" fillId="0" borderId="0" xfId="1" applyFont="1" applyFill="1" applyBorder="1" applyAlignment="1"/>
    <xf numFmtId="43" fontId="3" fillId="2" borderId="0" xfId="1" applyFont="1" applyFill="1" applyBorder="1" applyAlignment="1"/>
    <xf numFmtId="43" fontId="3" fillId="0" borderId="31" xfId="1" applyFont="1" applyBorder="1" applyAlignment="1"/>
    <xf numFmtId="43" fontId="3" fillId="0" borderId="34" xfId="1" applyFont="1" applyBorder="1"/>
    <xf numFmtId="0" fontId="8" fillId="0" borderId="26" xfId="0" applyFont="1" applyBorder="1"/>
    <xf numFmtId="0" fontId="2" fillId="0" borderId="28" xfId="0" applyFont="1" applyBorder="1"/>
    <xf numFmtId="43" fontId="3" fillId="0" borderId="27" xfId="0" applyNumberFormat="1" applyFont="1" applyBorder="1"/>
    <xf numFmtId="0" fontId="7" fillId="0" borderId="0" xfId="0" applyFont="1"/>
    <xf numFmtId="0" fontId="1" fillId="0" borderId="1" xfId="0" applyFont="1" applyBorder="1"/>
    <xf numFmtId="0" fontId="1" fillId="0" borderId="12" xfId="0" applyFont="1" applyBorder="1"/>
    <xf numFmtId="0" fontId="3" fillId="0" borderId="31" xfId="0" applyFont="1" applyBorder="1" applyAlignment="1">
      <alignment horizontal="left"/>
    </xf>
    <xf numFmtId="0" fontId="3" fillId="0" borderId="32" xfId="0" applyFont="1" applyBorder="1" applyAlignment="1">
      <alignment horizontal="left"/>
    </xf>
    <xf numFmtId="0" fontId="3" fillId="0" borderId="3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15" fontId="3" fillId="0" borderId="1" xfId="0" applyNumberFormat="1" applyFont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209550</xdr:colOff>
      <xdr:row>15</xdr:row>
      <xdr:rowOff>114300</xdr:rowOff>
    </xdr:from>
    <xdr:to>
      <xdr:col>9</xdr:col>
      <xdr:colOff>600075</xdr:colOff>
      <xdr:row>15</xdr:row>
      <xdr:rowOff>114300</xdr:rowOff>
    </xdr:to>
    <xdr:sp macro="" textlink="">
      <xdr:nvSpPr>
        <xdr:cNvPr id="2049" name="Line 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>
          <a:spLocks noChangeShapeType="1"/>
        </xdr:cNvSpPr>
      </xdr:nvSpPr>
      <xdr:spPr bwMode="auto">
        <a:xfrm>
          <a:off x="6819900" y="2971800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285750</xdr:colOff>
      <xdr:row>18</xdr:row>
      <xdr:rowOff>85725</xdr:rowOff>
    </xdr:from>
    <xdr:to>
      <xdr:col>9</xdr:col>
      <xdr:colOff>600075</xdr:colOff>
      <xdr:row>18</xdr:row>
      <xdr:rowOff>85725</xdr:rowOff>
    </xdr:to>
    <xdr:sp macro="" textlink="">
      <xdr:nvSpPr>
        <xdr:cNvPr id="2050" name="Line 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ChangeShapeType="1"/>
        </xdr:cNvSpPr>
      </xdr:nvSpPr>
      <xdr:spPr bwMode="auto">
        <a:xfrm>
          <a:off x="6819900" y="3514725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209550</xdr:colOff>
      <xdr:row>52</xdr:row>
      <xdr:rowOff>114300</xdr:rowOff>
    </xdr:from>
    <xdr:to>
      <xdr:col>9</xdr:col>
      <xdr:colOff>600075</xdr:colOff>
      <xdr:row>52</xdr:row>
      <xdr:rowOff>114300</xdr:rowOff>
    </xdr:to>
    <xdr:sp macro="" textlink="">
      <xdr:nvSpPr>
        <xdr:cNvPr id="2051" name="Line 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>
          <a:spLocks noChangeShapeType="1"/>
        </xdr:cNvSpPr>
      </xdr:nvSpPr>
      <xdr:spPr bwMode="auto">
        <a:xfrm>
          <a:off x="6819900" y="9753600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285750</xdr:colOff>
      <xdr:row>55</xdr:row>
      <xdr:rowOff>85725</xdr:rowOff>
    </xdr:from>
    <xdr:to>
      <xdr:col>9</xdr:col>
      <xdr:colOff>600075</xdr:colOff>
      <xdr:row>55</xdr:row>
      <xdr:rowOff>85725</xdr:rowOff>
    </xdr:to>
    <xdr:sp macro="" textlink="">
      <xdr:nvSpPr>
        <xdr:cNvPr id="2052" name="Line 2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>
          <a:spLocks noChangeShapeType="1"/>
        </xdr:cNvSpPr>
      </xdr:nvSpPr>
      <xdr:spPr bwMode="auto">
        <a:xfrm>
          <a:off x="6819900" y="10296525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1\Chapter%204\Chap%204%20Student%20Spreadsheets\Chap%204%20Source%20Documen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Journal"/>
      <sheetName val="General Journal KEY"/>
      <sheetName val="General Ledger"/>
      <sheetName val="General Ledger KEY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72"/>
  <sheetViews>
    <sheetView tabSelected="1" topLeftCell="A37" zoomScaleNormal="100" workbookViewId="0">
      <selection activeCell="L69" sqref="L69"/>
    </sheetView>
  </sheetViews>
  <sheetFormatPr defaultRowHeight="11.25" x14ac:dyDescent="0.2"/>
  <cols>
    <col min="1" max="1" width="2.7109375" style="4" customWidth="1"/>
    <col min="2" max="2" width="4.5703125" style="4" customWidth="1"/>
    <col min="3" max="3" width="3.28515625" style="4" customWidth="1"/>
    <col min="4" max="4" width="50.7109375" style="4" customWidth="1"/>
    <col min="5" max="5" width="6.28515625" style="4" customWidth="1"/>
    <col min="6" max="6" width="6.5703125" style="4" customWidth="1"/>
    <col min="7" max="8" width="12.7109375" style="4" customWidth="1"/>
    <col min="9" max="9" width="2.7109375" style="4" customWidth="1"/>
    <col min="10" max="10" width="9.140625" style="4"/>
    <col min="11" max="11" width="9.42578125" style="4" bestFit="1" customWidth="1"/>
    <col min="12" max="16384" width="9.140625" style="4"/>
  </cols>
  <sheetData>
    <row r="1" spans="1:11" ht="15" customHeight="1" x14ac:dyDescent="0.25">
      <c r="A1" s="1" t="s">
        <v>0</v>
      </c>
      <c r="B1" s="1"/>
      <c r="C1" s="1"/>
      <c r="D1" s="1"/>
      <c r="E1" s="2" t="s">
        <v>1</v>
      </c>
      <c r="F1" s="45" t="s">
        <v>32</v>
      </c>
      <c r="G1" s="3"/>
      <c r="H1" s="1"/>
      <c r="I1" s="1"/>
    </row>
    <row r="2" spans="1:11" ht="15" customHeight="1" x14ac:dyDescent="0.2">
      <c r="A2" s="1" t="s">
        <v>2</v>
      </c>
      <c r="B2" s="1"/>
      <c r="C2" s="1"/>
      <c r="D2" s="1"/>
      <c r="E2" s="1"/>
      <c r="F2" s="1"/>
      <c r="G2" s="1"/>
      <c r="H2" s="1"/>
      <c r="I2" s="1"/>
    </row>
    <row r="3" spans="1:11" ht="15" customHeight="1" x14ac:dyDescent="0.2">
      <c r="A3" s="1"/>
      <c r="B3" s="1"/>
      <c r="C3" s="1"/>
      <c r="D3" s="1"/>
      <c r="E3" s="1"/>
      <c r="F3" s="1"/>
      <c r="G3" s="1"/>
      <c r="H3" s="1"/>
      <c r="I3" s="1"/>
    </row>
    <row r="4" spans="1:11" ht="15" customHeight="1" x14ac:dyDescent="0.25">
      <c r="A4" s="1"/>
      <c r="B4" s="1"/>
      <c r="C4" s="1"/>
      <c r="D4" s="42" t="s">
        <v>3</v>
      </c>
      <c r="E4" s="1"/>
      <c r="F4" s="1"/>
      <c r="G4" s="1"/>
      <c r="H4" s="1"/>
      <c r="I4" s="1"/>
    </row>
    <row r="5" spans="1:11" ht="15" customHeight="1" x14ac:dyDescent="0.2">
      <c r="A5" s="1"/>
      <c r="B5" s="1"/>
      <c r="C5" s="1"/>
      <c r="E5" s="1"/>
      <c r="F5" s="1"/>
      <c r="G5" s="1"/>
      <c r="H5" s="1"/>
      <c r="I5" s="1"/>
    </row>
    <row r="6" spans="1:11" ht="15" x14ac:dyDescent="0.2">
      <c r="A6" s="47" t="s">
        <v>4</v>
      </c>
      <c r="B6" s="48"/>
      <c r="C6" s="48"/>
      <c r="D6" s="48"/>
      <c r="E6" s="48"/>
      <c r="F6" s="48"/>
      <c r="G6" s="48"/>
      <c r="H6" s="48"/>
      <c r="I6" s="48"/>
      <c r="J6" s="48"/>
      <c r="K6" s="49"/>
    </row>
    <row r="7" spans="1:11" ht="15" x14ac:dyDescent="0.2">
      <c r="A7" s="50"/>
      <c r="B7" s="2" t="s">
        <v>5</v>
      </c>
      <c r="C7" s="3"/>
      <c r="D7" s="79">
        <v>45260</v>
      </c>
      <c r="E7" s="1"/>
      <c r="F7" s="1"/>
      <c r="G7" s="1"/>
      <c r="H7" s="1" t="s">
        <v>6</v>
      </c>
      <c r="J7" s="3" t="s">
        <v>35</v>
      </c>
      <c r="K7" s="51" t="s">
        <v>36</v>
      </c>
    </row>
    <row r="8" spans="1:11" ht="15" x14ac:dyDescent="0.2">
      <c r="A8" s="50"/>
      <c r="B8" s="1"/>
      <c r="C8" s="1"/>
      <c r="D8" s="1"/>
      <c r="E8" s="1"/>
      <c r="F8" s="1"/>
      <c r="G8" s="1"/>
      <c r="H8" s="1"/>
      <c r="I8" s="1"/>
      <c r="J8" s="1"/>
      <c r="K8" s="52"/>
    </row>
    <row r="9" spans="1:11" ht="15" x14ac:dyDescent="0.2">
      <c r="A9" s="50"/>
      <c r="B9" s="1"/>
      <c r="C9" s="1"/>
      <c r="D9" s="1"/>
      <c r="E9" s="1"/>
      <c r="F9" s="1"/>
      <c r="G9" s="1"/>
      <c r="H9" s="1"/>
      <c r="I9" s="1"/>
      <c r="J9" s="1"/>
      <c r="K9" s="53" t="s">
        <v>7</v>
      </c>
    </row>
    <row r="10" spans="1:11" ht="15" x14ac:dyDescent="0.2">
      <c r="A10" s="54"/>
      <c r="B10" s="3"/>
      <c r="C10" s="3"/>
      <c r="D10" s="3" t="s">
        <v>8</v>
      </c>
      <c r="E10" s="3"/>
      <c r="F10" s="3"/>
      <c r="G10" s="3"/>
      <c r="H10" s="7" t="s">
        <v>9</v>
      </c>
      <c r="I10" s="3"/>
      <c r="J10" s="3"/>
      <c r="K10" s="55" t="s">
        <v>10</v>
      </c>
    </row>
    <row r="11" spans="1:11" ht="15" x14ac:dyDescent="0.2">
      <c r="A11" s="50" t="s">
        <v>11</v>
      </c>
      <c r="B11" s="1"/>
      <c r="C11" s="1"/>
      <c r="D11" s="1"/>
      <c r="E11" s="1"/>
      <c r="F11" s="1"/>
      <c r="G11" s="56"/>
      <c r="H11" s="57">
        <v>200</v>
      </c>
      <c r="I11" s="58"/>
      <c r="J11" s="56"/>
      <c r="K11" s="59"/>
    </row>
    <row r="12" spans="1:11" ht="15" x14ac:dyDescent="0.2">
      <c r="A12" s="50" t="s">
        <v>12</v>
      </c>
      <c r="B12" s="1"/>
      <c r="C12" s="1"/>
      <c r="D12" s="77" t="s">
        <v>33</v>
      </c>
      <c r="E12" s="77"/>
      <c r="F12" s="78"/>
      <c r="G12" s="60">
        <v>24</v>
      </c>
      <c r="H12" s="56"/>
      <c r="I12" s="56"/>
      <c r="J12" s="56"/>
      <c r="K12" s="59"/>
    </row>
    <row r="13" spans="1:11" ht="15" x14ac:dyDescent="0.2">
      <c r="A13" s="50"/>
      <c r="B13" s="1"/>
      <c r="C13" s="1"/>
      <c r="D13" s="74" t="s">
        <v>34</v>
      </c>
      <c r="E13" s="74"/>
      <c r="F13" s="75"/>
      <c r="G13" s="61">
        <v>20</v>
      </c>
      <c r="H13" s="56"/>
      <c r="I13" s="56"/>
      <c r="J13" s="56"/>
      <c r="K13" s="59"/>
    </row>
    <row r="14" spans="1:11" ht="15" x14ac:dyDescent="0.2">
      <c r="A14" s="50"/>
      <c r="B14" s="1"/>
      <c r="C14" s="1"/>
      <c r="D14" s="74"/>
      <c r="E14" s="74"/>
      <c r="F14" s="75"/>
      <c r="G14" s="61"/>
      <c r="H14" s="56"/>
      <c r="I14" s="56"/>
      <c r="J14" s="56"/>
      <c r="K14" s="59"/>
    </row>
    <row r="15" spans="1:11" ht="15" x14ac:dyDescent="0.2">
      <c r="A15" s="50"/>
      <c r="B15" s="1"/>
      <c r="C15" s="1"/>
      <c r="D15" s="76"/>
      <c r="E15" s="76"/>
      <c r="F15" s="76"/>
      <c r="G15" s="62"/>
      <c r="H15" s="56"/>
      <c r="I15" s="56"/>
      <c r="J15" s="56"/>
      <c r="K15" s="59"/>
    </row>
    <row r="16" spans="1:11" ht="15" x14ac:dyDescent="0.2">
      <c r="A16" s="50" t="s">
        <v>13</v>
      </c>
      <c r="B16" s="1"/>
      <c r="C16" s="1"/>
      <c r="D16" s="1" t="s">
        <v>14</v>
      </c>
      <c r="E16" s="1"/>
      <c r="F16" s="1"/>
      <c r="G16" s="56"/>
      <c r="H16" s="63">
        <v>44</v>
      </c>
      <c r="I16" s="64"/>
      <c r="J16" s="1"/>
      <c r="K16" s="70">
        <v>44</v>
      </c>
    </row>
    <row r="17" spans="1:11" ht="15" x14ac:dyDescent="0.2">
      <c r="A17" s="50" t="s">
        <v>15</v>
      </c>
      <c r="B17" s="1"/>
      <c r="C17" s="1"/>
      <c r="D17" s="1" t="s">
        <v>16</v>
      </c>
      <c r="E17" s="1"/>
      <c r="F17" s="1"/>
      <c r="G17" s="56"/>
      <c r="H17" s="63">
        <v>156</v>
      </c>
      <c r="I17" s="65"/>
      <c r="J17" s="56"/>
      <c r="K17" s="59"/>
    </row>
    <row r="18" spans="1:11" ht="15" x14ac:dyDescent="0.2">
      <c r="A18" s="50" t="s">
        <v>13</v>
      </c>
      <c r="B18" s="1"/>
      <c r="C18" s="1"/>
      <c r="D18" s="1" t="s">
        <v>17</v>
      </c>
      <c r="E18" s="1"/>
      <c r="F18" s="1"/>
      <c r="G18" s="56"/>
      <c r="H18" s="66">
        <v>154</v>
      </c>
      <c r="I18" s="65"/>
      <c r="J18" s="56"/>
      <c r="K18" s="59"/>
    </row>
    <row r="19" spans="1:11" ht="15.75" thickBot="1" x14ac:dyDescent="0.25">
      <c r="A19" s="50" t="s">
        <v>15</v>
      </c>
      <c r="B19" s="1"/>
      <c r="C19" s="1"/>
      <c r="D19" s="1" t="s">
        <v>18</v>
      </c>
      <c r="E19" s="1"/>
      <c r="F19" s="1"/>
      <c r="G19" s="56"/>
      <c r="H19" s="57">
        <v>2</v>
      </c>
      <c r="I19" s="64"/>
      <c r="J19" s="1"/>
      <c r="K19" s="67">
        <v>2</v>
      </c>
    </row>
    <row r="20" spans="1:11" ht="15.75" x14ac:dyDescent="0.25">
      <c r="A20" s="68" t="s">
        <v>19</v>
      </c>
      <c r="B20" s="1"/>
      <c r="C20" s="1"/>
      <c r="D20" s="1"/>
      <c r="E20" s="1"/>
      <c r="F20" s="1"/>
      <c r="G20" s="56"/>
      <c r="H20" s="56"/>
      <c r="I20" s="56"/>
      <c r="J20" s="56"/>
      <c r="K20" s="70">
        <v>46</v>
      </c>
    </row>
    <row r="21" spans="1:11" ht="6.75" customHeight="1" x14ac:dyDescent="0.2">
      <c r="A21" s="69"/>
      <c r="B21" s="72"/>
      <c r="C21" s="72"/>
      <c r="D21" s="72"/>
      <c r="E21" s="72"/>
      <c r="F21" s="72"/>
      <c r="G21" s="72"/>
      <c r="H21" s="72"/>
      <c r="I21" s="72"/>
      <c r="J21" s="72"/>
      <c r="K21" s="73"/>
    </row>
    <row r="22" spans="1:11" ht="6.75" customHeight="1" x14ac:dyDescent="0.2">
      <c r="B22" s="8"/>
      <c r="C22" s="8"/>
      <c r="D22" s="8"/>
      <c r="E22" s="8"/>
      <c r="F22" s="8"/>
      <c r="G22" s="8"/>
      <c r="H22" s="8"/>
      <c r="I22" s="8"/>
      <c r="J22" s="8"/>
      <c r="K22" s="8"/>
    </row>
    <row r="23" spans="1:11" ht="15" customHeight="1" x14ac:dyDescent="0.2">
      <c r="A23" s="1"/>
      <c r="B23" s="1"/>
      <c r="C23" s="1"/>
      <c r="D23" s="1"/>
      <c r="E23" s="1"/>
      <c r="F23" s="1"/>
      <c r="G23" s="1"/>
      <c r="H23" s="1"/>
      <c r="I23" s="1"/>
    </row>
    <row r="24" spans="1:11" s="8" customFormat="1" ht="15" x14ac:dyDescent="0.2">
      <c r="A24" s="5"/>
      <c r="B24" s="5"/>
      <c r="C24" s="5"/>
      <c r="D24" s="6" t="s">
        <v>20</v>
      </c>
      <c r="E24" s="5"/>
      <c r="F24" s="5"/>
      <c r="G24" s="7" t="s">
        <v>21</v>
      </c>
      <c r="H24" s="6">
        <v>22</v>
      </c>
      <c r="I24" s="5"/>
    </row>
    <row r="25" spans="1:11" s="11" customFormat="1" ht="9" thickBot="1" x14ac:dyDescent="0.2">
      <c r="A25" s="9"/>
      <c r="B25" s="9"/>
      <c r="C25" s="9"/>
      <c r="D25" s="9"/>
      <c r="E25" s="9"/>
      <c r="F25" s="9"/>
      <c r="G25" s="10">
        <v>1</v>
      </c>
      <c r="H25" s="10">
        <v>2</v>
      </c>
      <c r="I25" s="9"/>
    </row>
    <row r="26" spans="1:11" ht="12.95" customHeight="1" thickTop="1" x14ac:dyDescent="0.2">
      <c r="A26" s="12"/>
      <c r="B26" s="13"/>
      <c r="C26" s="14"/>
      <c r="D26" s="15"/>
      <c r="E26" s="15" t="s">
        <v>22</v>
      </c>
      <c r="F26" s="15" t="s">
        <v>23</v>
      </c>
      <c r="G26" s="16" t="s">
        <v>24</v>
      </c>
      <c r="H26" s="17"/>
      <c r="I26" s="13"/>
    </row>
    <row r="27" spans="1:11" ht="12.95" customHeight="1" thickBot="1" x14ac:dyDescent="0.25">
      <c r="A27" s="18"/>
      <c r="B27" s="19" t="s">
        <v>25</v>
      </c>
      <c r="C27" s="20"/>
      <c r="D27" s="21" t="s">
        <v>26</v>
      </c>
      <c r="E27" s="21" t="s">
        <v>27</v>
      </c>
      <c r="F27" s="21" t="s">
        <v>28</v>
      </c>
      <c r="G27" s="22" t="s">
        <v>29</v>
      </c>
      <c r="H27" s="22" t="s">
        <v>30</v>
      </c>
      <c r="I27" s="23"/>
    </row>
    <row r="28" spans="1:11" ht="15.95" customHeight="1" thickTop="1" x14ac:dyDescent="0.2">
      <c r="A28" s="24">
        <v>1</v>
      </c>
      <c r="B28" s="25" t="s">
        <v>37</v>
      </c>
      <c r="C28" s="26">
        <v>1</v>
      </c>
      <c r="D28" s="27" t="s">
        <v>38</v>
      </c>
      <c r="E28" s="27" t="s">
        <v>40</v>
      </c>
      <c r="F28" s="27"/>
      <c r="G28" s="28">
        <v>200</v>
      </c>
      <c r="H28" s="28"/>
      <c r="I28" s="29">
        <v>1</v>
      </c>
    </row>
    <row r="29" spans="1:11" ht="15.95" customHeight="1" x14ac:dyDescent="0.2">
      <c r="A29" s="30">
        <f t="shared" ref="A29:A36" si="0">A28+1</f>
        <v>2</v>
      </c>
      <c r="B29" s="31"/>
      <c r="C29" s="32"/>
      <c r="D29" s="43" t="s">
        <v>39</v>
      </c>
      <c r="E29" s="33"/>
      <c r="F29" s="33"/>
      <c r="G29" s="34"/>
      <c r="H29" s="34">
        <v>200</v>
      </c>
      <c r="I29" s="35">
        <f t="shared" ref="I29:I36" si="1">I28+1</f>
        <v>2</v>
      </c>
    </row>
    <row r="30" spans="1:11" ht="15.95" customHeight="1" thickBot="1" x14ac:dyDescent="0.25">
      <c r="A30" s="36">
        <f t="shared" si="0"/>
        <v>3</v>
      </c>
      <c r="B30" s="37" t="s">
        <v>41</v>
      </c>
      <c r="C30" s="38">
        <v>30</v>
      </c>
      <c r="D30" s="39" t="s">
        <v>33</v>
      </c>
      <c r="E30" s="39" t="s">
        <v>43</v>
      </c>
      <c r="F30" s="39"/>
      <c r="G30" s="40">
        <v>24</v>
      </c>
      <c r="H30" s="40"/>
      <c r="I30" s="41">
        <f t="shared" si="1"/>
        <v>3</v>
      </c>
    </row>
    <row r="31" spans="1:11" ht="15.95" customHeight="1" x14ac:dyDescent="0.2">
      <c r="A31" s="24">
        <f t="shared" si="0"/>
        <v>4</v>
      </c>
      <c r="B31" s="25"/>
      <c r="C31" s="26"/>
      <c r="D31" s="46" t="s">
        <v>34</v>
      </c>
      <c r="E31" s="27"/>
      <c r="F31" s="27"/>
      <c r="G31" s="28">
        <v>20</v>
      </c>
      <c r="H31" s="28"/>
      <c r="I31" s="29">
        <f t="shared" si="1"/>
        <v>4</v>
      </c>
    </row>
    <row r="32" spans="1:11" ht="15.95" customHeight="1" x14ac:dyDescent="0.2">
      <c r="A32" s="30">
        <f t="shared" si="0"/>
        <v>5</v>
      </c>
      <c r="B32" s="31"/>
      <c r="C32" s="32"/>
      <c r="D32" s="33" t="s">
        <v>42</v>
      </c>
      <c r="E32" s="33"/>
      <c r="F32" s="33"/>
      <c r="G32" s="34">
        <v>2</v>
      </c>
      <c r="H32" s="34"/>
      <c r="I32" s="35">
        <f t="shared" si="1"/>
        <v>5</v>
      </c>
    </row>
    <row r="33" spans="1:11" ht="15.95" customHeight="1" thickBot="1" x14ac:dyDescent="0.25">
      <c r="A33" s="36">
        <f t="shared" si="0"/>
        <v>6</v>
      </c>
      <c r="B33" s="37"/>
      <c r="C33" s="38"/>
      <c r="D33" s="44" t="s">
        <v>39</v>
      </c>
      <c r="E33" s="39"/>
      <c r="F33" s="39"/>
      <c r="G33" s="40"/>
      <c r="H33" s="40">
        <v>46</v>
      </c>
      <c r="I33" s="41">
        <f t="shared" si="1"/>
        <v>6</v>
      </c>
    </row>
    <row r="34" spans="1:11" ht="15.95" customHeight="1" x14ac:dyDescent="0.2">
      <c r="A34" s="24">
        <f t="shared" si="0"/>
        <v>7</v>
      </c>
      <c r="B34" s="25"/>
      <c r="C34" s="26"/>
      <c r="D34" s="27"/>
      <c r="E34" s="27"/>
      <c r="F34" s="27"/>
      <c r="G34" s="28"/>
      <c r="H34" s="28"/>
      <c r="I34" s="29">
        <f t="shared" si="1"/>
        <v>7</v>
      </c>
    </row>
    <row r="35" spans="1:11" ht="15.95" customHeight="1" x14ac:dyDescent="0.2">
      <c r="A35" s="30">
        <f t="shared" si="0"/>
        <v>8</v>
      </c>
      <c r="B35" s="31"/>
      <c r="C35" s="32"/>
      <c r="D35" s="33"/>
      <c r="E35" s="33"/>
      <c r="F35" s="33"/>
      <c r="G35" s="34"/>
      <c r="H35" s="34"/>
      <c r="I35" s="35">
        <f t="shared" si="1"/>
        <v>8</v>
      </c>
    </row>
    <row r="36" spans="1:11" ht="15.95" customHeight="1" thickBot="1" x14ac:dyDescent="0.25">
      <c r="A36" s="36">
        <f t="shared" si="0"/>
        <v>9</v>
      </c>
      <c r="B36" s="37"/>
      <c r="C36" s="38"/>
      <c r="D36" s="39"/>
      <c r="E36" s="39"/>
      <c r="F36" s="39"/>
      <c r="G36" s="40"/>
      <c r="H36" s="40"/>
      <c r="I36" s="41">
        <f t="shared" si="1"/>
        <v>9</v>
      </c>
    </row>
    <row r="38" spans="1:11" ht="15" customHeight="1" x14ac:dyDescent="0.25">
      <c r="A38" s="1" t="s">
        <v>0</v>
      </c>
      <c r="B38" s="1"/>
      <c r="C38" s="1"/>
      <c r="D38" s="1"/>
      <c r="E38" s="2" t="s">
        <v>1</v>
      </c>
      <c r="F38" s="45" t="str">
        <f>F1</f>
        <v>Dhruv Patil</v>
      </c>
      <c r="G38" s="3"/>
      <c r="H38" s="1"/>
      <c r="I38" s="1"/>
    </row>
    <row r="39" spans="1:11" ht="15" customHeight="1" x14ac:dyDescent="0.25">
      <c r="A39" s="1" t="s">
        <v>2</v>
      </c>
      <c r="B39" s="1"/>
      <c r="C39" s="1"/>
      <c r="D39" s="1"/>
      <c r="E39" s="2"/>
      <c r="F39" s="71"/>
      <c r="G39" s="1"/>
      <c r="H39" s="1"/>
      <c r="I39" s="1"/>
    </row>
    <row r="40" spans="1:11" ht="15" customHeight="1" x14ac:dyDescent="0.25">
      <c r="A40" s="1"/>
      <c r="B40" s="1"/>
      <c r="C40" s="1"/>
      <c r="D40" s="1"/>
      <c r="E40" s="2"/>
      <c r="F40" s="71"/>
      <c r="G40" s="1"/>
      <c r="H40" s="1"/>
      <c r="I40" s="1"/>
    </row>
    <row r="41" spans="1:11" ht="15.75" x14ac:dyDescent="0.25">
      <c r="D41" s="42" t="s">
        <v>31</v>
      </c>
    </row>
    <row r="42" spans="1:11" ht="15.75" x14ac:dyDescent="0.25">
      <c r="D42" s="42"/>
    </row>
    <row r="43" spans="1:11" ht="15" x14ac:dyDescent="0.2">
      <c r="A43" s="47" t="s">
        <v>4</v>
      </c>
      <c r="B43" s="48"/>
      <c r="C43" s="48"/>
      <c r="D43" s="48"/>
      <c r="E43" s="48"/>
      <c r="F43" s="48"/>
      <c r="G43" s="48"/>
      <c r="H43" s="48"/>
      <c r="I43" s="48"/>
      <c r="J43" s="48"/>
      <c r="K43" s="49"/>
    </row>
    <row r="44" spans="1:11" ht="15" x14ac:dyDescent="0.2">
      <c r="A44" s="50"/>
      <c r="B44" s="2" t="s">
        <v>5</v>
      </c>
      <c r="C44" s="3"/>
      <c r="D44" s="79">
        <v>45046</v>
      </c>
      <c r="E44" s="1"/>
      <c r="F44" s="1"/>
      <c r="G44" s="1"/>
      <c r="H44" s="1" t="s">
        <v>6</v>
      </c>
      <c r="J44" s="3" t="s">
        <v>35</v>
      </c>
      <c r="K44" s="51" t="s">
        <v>36</v>
      </c>
    </row>
    <row r="45" spans="1:11" ht="15" x14ac:dyDescent="0.2">
      <c r="A45" s="50"/>
      <c r="B45" s="1"/>
      <c r="C45" s="1"/>
      <c r="D45" s="1"/>
      <c r="E45" s="1"/>
      <c r="F45" s="1"/>
      <c r="G45" s="1"/>
      <c r="H45" s="1"/>
      <c r="I45" s="1"/>
      <c r="J45" s="1"/>
      <c r="K45" s="52"/>
    </row>
    <row r="46" spans="1:11" ht="15" x14ac:dyDescent="0.2">
      <c r="A46" s="50"/>
      <c r="B46" s="1"/>
      <c r="C46" s="1"/>
      <c r="D46" s="1"/>
      <c r="E46" s="1"/>
      <c r="F46" s="1"/>
      <c r="G46" s="1"/>
      <c r="H46" s="1"/>
      <c r="I46" s="1"/>
      <c r="J46" s="1"/>
      <c r="K46" s="53" t="s">
        <v>7</v>
      </c>
    </row>
    <row r="47" spans="1:11" ht="15" x14ac:dyDescent="0.2">
      <c r="A47" s="54"/>
      <c r="B47" s="3"/>
      <c r="C47" s="3"/>
      <c r="D47" s="3" t="s">
        <v>8</v>
      </c>
      <c r="E47" s="3"/>
      <c r="F47" s="3"/>
      <c r="G47" s="3"/>
      <c r="H47" s="7" t="s">
        <v>9</v>
      </c>
      <c r="I47" s="3"/>
      <c r="J47" s="3"/>
      <c r="K47" s="55" t="s">
        <v>10</v>
      </c>
    </row>
    <row r="48" spans="1:11" ht="15" x14ac:dyDescent="0.2">
      <c r="A48" s="50" t="s">
        <v>11</v>
      </c>
      <c r="B48" s="1"/>
      <c r="C48" s="1"/>
      <c r="D48" s="1"/>
      <c r="E48" s="1"/>
      <c r="F48" s="1"/>
      <c r="G48" s="56"/>
      <c r="H48" s="57">
        <v>250</v>
      </c>
      <c r="I48" s="58"/>
      <c r="J48" s="56"/>
      <c r="K48" s="59"/>
    </row>
    <row r="49" spans="1:11" ht="15" x14ac:dyDescent="0.2">
      <c r="A49" s="50" t="s">
        <v>12</v>
      </c>
      <c r="B49" s="1"/>
      <c r="C49" s="1"/>
      <c r="D49" s="77" t="s">
        <v>44</v>
      </c>
      <c r="E49" s="77"/>
      <c r="F49" s="78"/>
      <c r="G49" s="60">
        <v>48</v>
      </c>
      <c r="H49" s="56"/>
      <c r="I49" s="56"/>
      <c r="J49" s="56"/>
      <c r="K49" s="59"/>
    </row>
    <row r="50" spans="1:11" ht="15" x14ac:dyDescent="0.2">
      <c r="A50" s="50"/>
      <c r="B50" s="1"/>
      <c r="C50" s="1"/>
      <c r="D50" s="74" t="s">
        <v>34</v>
      </c>
      <c r="E50" s="74"/>
      <c r="F50" s="75"/>
      <c r="G50" s="61">
        <v>30</v>
      </c>
      <c r="H50" s="56"/>
      <c r="I50" s="56"/>
      <c r="J50" s="56"/>
      <c r="K50" s="59"/>
    </row>
    <row r="51" spans="1:11" ht="15" x14ac:dyDescent="0.2">
      <c r="A51" s="50"/>
      <c r="B51" s="1"/>
      <c r="C51" s="1"/>
      <c r="D51" s="74"/>
      <c r="E51" s="74"/>
      <c r="F51" s="75"/>
      <c r="G51" s="61"/>
      <c r="H51" s="56"/>
      <c r="I51" s="56"/>
      <c r="J51" s="56"/>
      <c r="K51" s="59"/>
    </row>
    <row r="52" spans="1:11" ht="15" x14ac:dyDescent="0.2">
      <c r="A52" s="50"/>
      <c r="B52" s="1"/>
      <c r="C52" s="1"/>
      <c r="D52" s="76"/>
      <c r="E52" s="76"/>
      <c r="F52" s="76"/>
      <c r="G52" s="62"/>
      <c r="H52" s="56"/>
      <c r="I52" s="56"/>
      <c r="J52" s="56"/>
      <c r="K52" s="59"/>
    </row>
    <row r="53" spans="1:11" ht="15" x14ac:dyDescent="0.2">
      <c r="A53" s="50" t="s">
        <v>13</v>
      </c>
      <c r="B53" s="1"/>
      <c r="C53" s="1"/>
      <c r="D53" s="1" t="s">
        <v>14</v>
      </c>
      <c r="E53" s="1"/>
      <c r="F53" s="1"/>
      <c r="G53" s="56"/>
      <c r="H53" s="63">
        <f>G49+G50</f>
        <v>78</v>
      </c>
      <c r="I53" s="64"/>
      <c r="J53" s="1"/>
      <c r="K53" s="70">
        <v>78</v>
      </c>
    </row>
    <row r="54" spans="1:11" ht="15" x14ac:dyDescent="0.2">
      <c r="A54" s="50" t="s">
        <v>15</v>
      </c>
      <c r="B54" s="1"/>
      <c r="C54" s="1"/>
      <c r="D54" s="1" t="s">
        <v>16</v>
      </c>
      <c r="E54" s="1"/>
      <c r="F54" s="1"/>
      <c r="G54" s="56"/>
      <c r="H54" s="63">
        <f>H48-H53</f>
        <v>172</v>
      </c>
      <c r="I54" s="65"/>
      <c r="J54" s="56"/>
      <c r="K54" s="59"/>
    </row>
    <row r="55" spans="1:11" ht="15" x14ac:dyDescent="0.2">
      <c r="A55" s="50" t="s">
        <v>13</v>
      </c>
      <c r="B55" s="1"/>
      <c r="C55" s="1"/>
      <c r="D55" s="1" t="s">
        <v>17</v>
      </c>
      <c r="E55" s="1"/>
      <c r="F55" s="1"/>
      <c r="G55" s="56"/>
      <c r="H55" s="66">
        <v>171</v>
      </c>
      <c r="I55" s="65"/>
      <c r="J55" s="56"/>
      <c r="K55" s="59"/>
    </row>
    <row r="56" spans="1:11" ht="15.75" thickBot="1" x14ac:dyDescent="0.25">
      <c r="A56" s="50" t="s">
        <v>15</v>
      </c>
      <c r="B56" s="1"/>
      <c r="C56" s="1"/>
      <c r="D56" s="1" t="s">
        <v>18</v>
      </c>
      <c r="E56" s="1"/>
      <c r="F56" s="1"/>
      <c r="G56" s="56"/>
      <c r="H56" s="57">
        <v>1</v>
      </c>
      <c r="I56" s="64"/>
      <c r="J56" s="1"/>
      <c r="K56" s="67">
        <v>1</v>
      </c>
    </row>
    <row r="57" spans="1:11" ht="15.75" x14ac:dyDescent="0.25">
      <c r="A57" s="68" t="s">
        <v>19</v>
      </c>
      <c r="B57" s="1"/>
      <c r="C57" s="1"/>
      <c r="D57" s="1"/>
      <c r="E57" s="1"/>
      <c r="F57" s="1"/>
      <c r="G57" s="56"/>
      <c r="H57" s="56"/>
      <c r="I57" s="56"/>
      <c r="J57" s="56"/>
      <c r="K57" s="70">
        <v>79</v>
      </c>
    </row>
    <row r="58" spans="1:11" ht="6.75" customHeight="1" x14ac:dyDescent="0.2">
      <c r="A58" s="69"/>
      <c r="B58" s="72"/>
      <c r="C58" s="72"/>
      <c r="D58" s="72"/>
      <c r="E58" s="72"/>
      <c r="F58" s="72"/>
      <c r="G58" s="72"/>
      <c r="H58" s="72"/>
      <c r="I58" s="72"/>
      <c r="J58" s="72"/>
      <c r="K58" s="73"/>
    </row>
    <row r="59" spans="1:11" ht="15.75" x14ac:dyDescent="0.25">
      <c r="D59" s="42"/>
    </row>
    <row r="60" spans="1:11" ht="15" x14ac:dyDescent="0.2">
      <c r="A60" s="5"/>
      <c r="B60" s="5"/>
      <c r="C60" s="5"/>
      <c r="D60" s="6" t="s">
        <v>20</v>
      </c>
      <c r="E60" s="5"/>
      <c r="F60" s="5"/>
      <c r="G60" s="7" t="s">
        <v>21</v>
      </c>
      <c r="H60" s="6">
        <v>8</v>
      </c>
      <c r="I60" s="5"/>
    </row>
    <row r="61" spans="1:11" ht="12" thickBot="1" x14ac:dyDescent="0.25">
      <c r="A61" s="9"/>
      <c r="B61" s="9"/>
      <c r="C61" s="9"/>
      <c r="D61" s="9"/>
      <c r="E61" s="9"/>
      <c r="F61" s="9"/>
      <c r="G61" s="10">
        <v>1</v>
      </c>
      <c r="H61" s="10">
        <v>2</v>
      </c>
      <c r="I61" s="9"/>
    </row>
    <row r="62" spans="1:11" ht="12.75" thickTop="1" x14ac:dyDescent="0.2">
      <c r="A62" s="12"/>
      <c r="B62" s="13"/>
      <c r="C62" s="14"/>
      <c r="D62" s="15"/>
      <c r="E62" s="15" t="s">
        <v>22</v>
      </c>
      <c r="F62" s="15" t="s">
        <v>23</v>
      </c>
      <c r="G62" s="16" t="s">
        <v>24</v>
      </c>
      <c r="H62" s="17"/>
      <c r="I62" s="13"/>
    </row>
    <row r="63" spans="1:11" ht="12.75" thickBot="1" x14ac:dyDescent="0.25">
      <c r="A63" s="18"/>
      <c r="B63" s="19" t="s">
        <v>25</v>
      </c>
      <c r="C63" s="20"/>
      <c r="D63" s="21" t="s">
        <v>26</v>
      </c>
      <c r="E63" s="21" t="s">
        <v>27</v>
      </c>
      <c r="F63" s="21" t="s">
        <v>28</v>
      </c>
      <c r="G63" s="22" t="s">
        <v>29</v>
      </c>
      <c r="H63" s="22" t="s">
        <v>30</v>
      </c>
      <c r="I63" s="23"/>
    </row>
    <row r="64" spans="1:11" ht="15" thickTop="1" x14ac:dyDescent="0.2">
      <c r="A64" s="24">
        <v>1</v>
      </c>
      <c r="B64" s="25" t="s">
        <v>45</v>
      </c>
      <c r="C64" s="26">
        <v>1</v>
      </c>
      <c r="D64" s="27" t="s">
        <v>38</v>
      </c>
      <c r="E64" s="27" t="s">
        <v>46</v>
      </c>
      <c r="F64" s="27"/>
      <c r="G64" s="28">
        <v>250</v>
      </c>
      <c r="H64" s="28"/>
      <c r="I64" s="29">
        <v>1</v>
      </c>
    </row>
    <row r="65" spans="1:9" ht="14.25" x14ac:dyDescent="0.2">
      <c r="A65" s="30">
        <f t="shared" ref="A65:A72" si="2">A64+1</f>
        <v>2</v>
      </c>
      <c r="B65" s="31"/>
      <c r="C65" s="32"/>
      <c r="D65" s="43" t="s">
        <v>39</v>
      </c>
      <c r="E65" s="33"/>
      <c r="F65" s="33"/>
      <c r="G65" s="34"/>
      <c r="H65" s="34">
        <v>250</v>
      </c>
      <c r="I65" s="35">
        <f t="shared" ref="I65:I72" si="3">I64+1</f>
        <v>2</v>
      </c>
    </row>
    <row r="66" spans="1:9" ht="15" thickBot="1" x14ac:dyDescent="0.25">
      <c r="A66" s="36">
        <f t="shared" si="2"/>
        <v>3</v>
      </c>
      <c r="B66" s="37" t="s">
        <v>45</v>
      </c>
      <c r="C66" s="38">
        <v>30</v>
      </c>
      <c r="D66" s="39" t="s">
        <v>44</v>
      </c>
      <c r="E66" s="39" t="s">
        <v>47</v>
      </c>
      <c r="F66" s="39"/>
      <c r="G66" s="40">
        <v>48</v>
      </c>
      <c r="H66" s="40"/>
      <c r="I66" s="41">
        <f t="shared" si="3"/>
        <v>3</v>
      </c>
    </row>
    <row r="67" spans="1:9" ht="14.25" x14ac:dyDescent="0.2">
      <c r="A67" s="24">
        <f t="shared" si="2"/>
        <v>4</v>
      </c>
      <c r="B67" s="25"/>
      <c r="C67" s="26"/>
      <c r="D67" s="33" t="s">
        <v>34</v>
      </c>
      <c r="E67" s="27"/>
      <c r="F67" s="27"/>
      <c r="G67" s="28">
        <v>30</v>
      </c>
      <c r="H67" s="28"/>
      <c r="I67" s="29">
        <f t="shared" si="3"/>
        <v>4</v>
      </c>
    </row>
    <row r="68" spans="1:9" ht="14.25" x14ac:dyDescent="0.2">
      <c r="A68" s="30">
        <f t="shared" si="2"/>
        <v>5</v>
      </c>
      <c r="B68" s="31"/>
      <c r="C68" s="32"/>
      <c r="D68" s="33" t="s">
        <v>42</v>
      </c>
      <c r="E68" s="33"/>
      <c r="F68" s="33"/>
      <c r="G68" s="34">
        <v>1</v>
      </c>
      <c r="H68" s="34"/>
      <c r="I68" s="35">
        <f t="shared" si="3"/>
        <v>5</v>
      </c>
    </row>
    <row r="69" spans="1:9" ht="15" thickBot="1" x14ac:dyDescent="0.25">
      <c r="A69" s="36">
        <f t="shared" si="2"/>
        <v>6</v>
      </c>
      <c r="B69" s="37"/>
      <c r="C69" s="38"/>
      <c r="D69" s="44" t="s">
        <v>39</v>
      </c>
      <c r="E69" s="39"/>
      <c r="F69" s="39"/>
      <c r="G69" s="40"/>
      <c r="H69" s="40">
        <v>79</v>
      </c>
      <c r="I69" s="41">
        <f t="shared" si="3"/>
        <v>6</v>
      </c>
    </row>
    <row r="70" spans="1:9" ht="14.25" x14ac:dyDescent="0.2">
      <c r="A70" s="24">
        <f t="shared" si="2"/>
        <v>7</v>
      </c>
      <c r="B70" s="25"/>
      <c r="C70" s="26"/>
      <c r="D70" s="27"/>
      <c r="E70" s="27"/>
      <c r="F70" s="27"/>
      <c r="G70" s="28"/>
      <c r="H70" s="28"/>
      <c r="I70" s="29">
        <f t="shared" si="3"/>
        <v>7</v>
      </c>
    </row>
    <row r="71" spans="1:9" ht="14.25" x14ac:dyDescent="0.2">
      <c r="A71" s="30">
        <f t="shared" si="2"/>
        <v>8</v>
      </c>
      <c r="B71" s="31"/>
      <c r="C71" s="32"/>
      <c r="D71" s="33"/>
      <c r="E71" s="33"/>
      <c r="F71" s="33"/>
      <c r="G71" s="34"/>
      <c r="H71" s="34"/>
      <c r="I71" s="35">
        <f t="shared" si="3"/>
        <v>8</v>
      </c>
    </row>
    <row r="72" spans="1:9" ht="15" thickBot="1" x14ac:dyDescent="0.25">
      <c r="A72" s="36">
        <f t="shared" si="2"/>
        <v>9</v>
      </c>
      <c r="B72" s="37"/>
      <c r="C72" s="38"/>
      <c r="D72" s="39"/>
      <c r="E72" s="39"/>
      <c r="F72" s="39"/>
      <c r="G72" s="40"/>
      <c r="H72" s="40"/>
      <c r="I72" s="41">
        <f t="shared" si="3"/>
        <v>9</v>
      </c>
    </row>
  </sheetData>
  <sheetProtection selectLockedCells="1"/>
  <mergeCells count="8">
    <mergeCell ref="D51:F51"/>
    <mergeCell ref="D52:F52"/>
    <mergeCell ref="D12:F12"/>
    <mergeCell ref="D13:F13"/>
    <mergeCell ref="D14:F14"/>
    <mergeCell ref="D15:F15"/>
    <mergeCell ref="D49:F49"/>
    <mergeCell ref="D50:F50"/>
  </mergeCells>
  <printOptions horizontalCentered="1"/>
  <pageMargins left="0.25" right="0.25" top="0.5" bottom="0.5" header="0.5" footer="0.5"/>
  <pageSetup scale="80" orientation="portrait" horizontalDpi="300" verticalDpi="300" r:id="rId1"/>
  <headerFooter alignWithMargins="0"/>
  <rowBreaks count="1" manualBreakCount="1">
    <brk id="37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7D023F-5CEC-4438-9EE0-6308E107413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F8C9C0-455A-4AE7-B217-3705B62202B7}">
  <ds:schemaRefs>
    <ds:schemaRef ds:uri="d5bf7610-0a90-45dc-b926-1b234e6c6756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d758baea-510e-4597-bb40-a09e4fc0f415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922CDD1-758C-4867-BA50-1893EEE8EA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5-4 General Journal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2007-10-29T22:54:12Z</dcterms:created>
  <dcterms:modified xsi:type="dcterms:W3CDTF">2023-11-06T17:06:08Z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9500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