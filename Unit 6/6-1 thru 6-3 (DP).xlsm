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6/"/>
    </mc:Choice>
  </mc:AlternateContent>
  <xr:revisionPtr revIDLastSave="182" documentId="8_{11ABE775-AEFB-4B12-B4D9-28A77E2455D5}" xr6:coauthVersionLast="47" xr6:coauthVersionMax="47" xr10:uidLastSave="{637DB158-1E19-4B40-AB02-B30CD5C36D3D}"/>
  <bookViews>
    <workbookView xWindow="-120" yWindow="-120" windowWidth="21840" windowHeight="13140" xr2:uid="{00000000-000D-0000-FFFF-FFFF00000000}"/>
  </bookViews>
  <sheets>
    <sheet name="work-own worksheet" sheetId="10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9" i="10" l="1"/>
  <c r="K59" i="10"/>
  <c r="M59" i="10"/>
  <c r="M58" i="10"/>
  <c r="J59" i="10"/>
  <c r="J58" i="10"/>
  <c r="M57" i="10"/>
  <c r="L57" i="10"/>
  <c r="K57" i="10"/>
  <c r="J57" i="10"/>
  <c r="J56" i="10"/>
  <c r="J55" i="10"/>
  <c r="J54" i="10"/>
  <c r="J52" i="10"/>
  <c r="J51" i="10"/>
  <c r="K50" i="10"/>
  <c r="L48" i="10"/>
  <c r="M47" i="10"/>
  <c r="M46" i="10"/>
  <c r="L45" i="10"/>
  <c r="L44" i="10"/>
  <c r="L43" i="10"/>
  <c r="L42" i="10"/>
  <c r="L41" i="10"/>
  <c r="M28" i="10"/>
  <c r="L28" i="10"/>
  <c r="K28" i="10"/>
  <c r="J28" i="10"/>
  <c r="M27" i="10"/>
  <c r="J27" i="10"/>
  <c r="M26" i="10"/>
  <c r="L26" i="10"/>
  <c r="K26" i="10"/>
  <c r="J26" i="10"/>
  <c r="J20" i="10"/>
  <c r="J25" i="10"/>
  <c r="J24" i="10"/>
  <c r="J23" i="10"/>
  <c r="J22" i="10"/>
  <c r="J21" i="10"/>
  <c r="K19" i="10"/>
  <c r="L17" i="10"/>
  <c r="M16" i="10"/>
  <c r="M15" i="10"/>
  <c r="L14" i="10"/>
  <c r="L13" i="10"/>
  <c r="L12" i="10"/>
  <c r="L11" i="10"/>
  <c r="L10" i="10"/>
  <c r="I57" i="10"/>
  <c r="G57" i="10"/>
  <c r="I26" i="10"/>
  <c r="G26" i="10"/>
  <c r="E57" i="10"/>
  <c r="D57" i="10"/>
  <c r="E26" i="10"/>
  <c r="D26" i="10"/>
  <c r="C32" i="10"/>
  <c r="N42" i="10"/>
  <c r="N43" i="10" s="1"/>
  <c r="N44" i="10" s="1"/>
  <c r="N45" i="10" s="1"/>
  <c r="N46" i="10" s="1"/>
  <c r="N47" i="10" s="1"/>
  <c r="N48" i="10" s="1"/>
  <c r="N49" i="10" s="1"/>
  <c r="N50" i="10" s="1"/>
  <c r="N51" i="10" s="1"/>
  <c r="N52" i="10" s="1"/>
  <c r="N53" i="10" s="1"/>
  <c r="N54" i="10" s="1"/>
  <c r="N55" i="10" s="1"/>
  <c r="N56" i="10" s="1"/>
  <c r="N57" i="10" s="1"/>
  <c r="N58" i="10" s="1"/>
  <c r="N59" i="10" s="1"/>
  <c r="N60" i="10" s="1"/>
  <c r="B42" i="10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N11" i="10"/>
  <c r="N12" i="10" s="1"/>
  <c r="N13" i="10" s="1"/>
  <c r="N14" i="10" s="1"/>
  <c r="N15" i="10" s="1"/>
  <c r="N16" i="10" s="1"/>
  <c r="N17" i="10" s="1"/>
  <c r="N18" i="10" s="1"/>
  <c r="N19" i="10" s="1"/>
  <c r="N20" i="10" s="1"/>
  <c r="N21" i="10" s="1"/>
  <c r="N22" i="10" s="1"/>
  <c r="N23" i="10" s="1"/>
  <c r="N24" i="10" s="1"/>
  <c r="N25" i="10" s="1"/>
  <c r="N26" i="10" s="1"/>
  <c r="N27" i="10" s="1"/>
  <c r="N28" i="10" s="1"/>
  <c r="N29" i="10" s="1"/>
  <c r="B11" i="10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</calcChain>
</file>

<file path=xl/sharedStrings.xml><?xml version="1.0" encoding="utf-8"?>
<sst xmlns="http://schemas.openxmlformats.org/spreadsheetml/2006/main" count="87" uniqueCount="41">
  <si>
    <t>Name</t>
  </si>
  <si>
    <t>Accounting 1 work together 6-1 thru 6-3</t>
  </si>
  <si>
    <t>pages 162, 168,175</t>
  </si>
  <si>
    <t xml:space="preserve"> </t>
  </si>
  <si>
    <t>TRIAL BALANCE</t>
  </si>
  <si>
    <t>ADJUSTMENTS</t>
  </si>
  <si>
    <t>INCOME STATEMENT</t>
  </si>
  <si>
    <t>BALANCE SHEET</t>
  </si>
  <si>
    <t>DEBIT</t>
  </si>
  <si>
    <t>CREDIT</t>
  </si>
  <si>
    <t>ACCOUNT TITLE</t>
  </si>
  <si>
    <t>Accounting 1 on your own 6-1 thru 6-3</t>
  </si>
  <si>
    <t>Dhruv Patil</t>
  </si>
  <si>
    <t>Fix It Now</t>
  </si>
  <si>
    <t>Work Sheet</t>
  </si>
  <si>
    <t>For Month Ended April 30, 2023</t>
  </si>
  <si>
    <t>Cash</t>
  </si>
  <si>
    <t>Petty Cash</t>
  </si>
  <si>
    <t>Accts. Rec.-B. Widell</t>
  </si>
  <si>
    <t>Supplies</t>
  </si>
  <si>
    <t xml:space="preserve">Prepaid Insurance </t>
  </si>
  <si>
    <t>Accts. Pay.-Southside Supplies</t>
  </si>
  <si>
    <t>Connor Whitney, Capital</t>
  </si>
  <si>
    <t>Connor Whitney, Drawing</t>
  </si>
  <si>
    <t>Income Summary</t>
  </si>
  <si>
    <t>Sales</t>
  </si>
  <si>
    <t>Advertising Expense</t>
  </si>
  <si>
    <t>Cash Short and Over</t>
  </si>
  <si>
    <t>Insurance Expense</t>
  </si>
  <si>
    <t>Miscellaneous Expense</t>
  </si>
  <si>
    <t>Supplies Expense</t>
  </si>
  <si>
    <t>Utilities Expense</t>
  </si>
  <si>
    <t>Repair World</t>
  </si>
  <si>
    <t>For Month December 31, 2023</t>
  </si>
  <si>
    <t>Accts. Rec.-Stephen Coates</t>
  </si>
  <si>
    <t>Accts. Pay.-Jill Straton</t>
  </si>
  <si>
    <t>Isiah Clausen, Capital</t>
  </si>
  <si>
    <t>Isiah Clausen, Drawing</t>
  </si>
  <si>
    <t>(a)</t>
  </si>
  <si>
    <t>(b)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</si>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</sst>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,##0.000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6"/>
      <name val="Arial"/>
      <family val="2"/>
    </font>
    <font>
      <sz val="9"/>
      <name val="Arial"/>
      <family val="2"/>
    </font>
    <font>
      <sz val="12"/>
      <name val="Arial"/>
      <family val="2"/>
    </font>
    <font>
      <sz val="6"/>
      <name val="Arial"/>
    </font>
    <font>
      <sz val="9"/>
      <name val="Arial"/>
    </font>
    <font>
      <b/>
      <sz val="12"/>
      <name val="Arial"/>
      <family val="2"/>
    </font>
    <font>
      <sz val="11"/>
      <name val="Arial"/>
      <family val="2"/>
    </font>
    <font>
      <sz val="11"/>
      <name val="Times New Roman"/>
      <family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/>
      <top style="thick">
        <color indexed="64"/>
      </top>
      <bottom style="double">
        <color indexed="64"/>
      </bottom>
      <diagonal/>
    </border>
    <border>
      <left/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6" fillId="0" borderId="5" xfId="0" applyFont="1" applyBorder="1" applyAlignment="1">
      <alignment horizontal="center"/>
    </xf>
    <xf numFmtId="0" fontId="5" fillId="0" borderId="6" xfId="0" applyFont="1" applyBorder="1"/>
    <xf numFmtId="0" fontId="5" fillId="0" borderId="7" xfId="0" applyFont="1" applyBorder="1" applyAlignment="1">
      <alignment horizontal="center"/>
    </xf>
    <xf numFmtId="0" fontId="5" fillId="0" borderId="0" xfId="0" applyFont="1"/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8" fillId="0" borderId="10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8" fillId="0" borderId="12" xfId="0" applyFont="1" applyBorder="1" applyAlignment="1">
      <alignment horizontal="centerContinuous"/>
    </xf>
    <xf numFmtId="0" fontId="8" fillId="0" borderId="13" xfId="0" applyFont="1" applyBorder="1" applyAlignment="1">
      <alignment horizontal="centerContinuous"/>
    </xf>
    <xf numFmtId="0" fontId="8" fillId="0" borderId="14" xfId="0" applyFont="1" applyBorder="1"/>
    <xf numFmtId="0" fontId="8" fillId="0" borderId="15" xfId="0" applyFont="1" applyBorder="1"/>
    <xf numFmtId="0" fontId="7" fillId="0" borderId="16" xfId="0" applyFont="1" applyBorder="1" applyAlignment="1">
      <alignment horizontal="left"/>
    </xf>
    <xf numFmtId="0" fontId="7" fillId="0" borderId="17" xfId="0" applyFont="1" applyBorder="1" applyAlignment="1">
      <alignment horizontal="left"/>
    </xf>
    <xf numFmtId="0" fontId="7" fillId="0" borderId="18" xfId="0" applyFont="1" applyBorder="1" applyAlignment="1">
      <alignment horizontal="left"/>
    </xf>
    <xf numFmtId="0" fontId="6" fillId="0" borderId="0" xfId="0" applyFont="1"/>
    <xf numFmtId="0" fontId="3" fillId="0" borderId="0" xfId="0" applyFont="1" applyAlignment="1">
      <alignment horizontal="right"/>
    </xf>
    <xf numFmtId="0" fontId="9" fillId="0" borderId="5" xfId="0" applyFont="1" applyBorder="1"/>
    <xf numFmtId="0" fontId="10" fillId="0" borderId="19" xfId="0" applyFont="1" applyBorder="1"/>
    <xf numFmtId="4" fontId="10" fillId="0" borderId="19" xfId="0" applyNumberFormat="1" applyFont="1" applyBorder="1"/>
    <xf numFmtId="0" fontId="10" fillId="0" borderId="20" xfId="0" applyFont="1" applyBorder="1"/>
    <xf numFmtId="4" fontId="10" fillId="0" borderId="20" xfId="0" applyNumberFormat="1" applyFont="1" applyBorder="1"/>
    <xf numFmtId="0" fontId="10" fillId="0" borderId="21" xfId="0" applyFont="1" applyBorder="1"/>
    <xf numFmtId="4" fontId="10" fillId="0" borderId="21" xfId="0" applyNumberFormat="1" applyFont="1" applyBorder="1"/>
    <xf numFmtId="4" fontId="10" fillId="0" borderId="22" xfId="0" applyNumberFormat="1" applyFont="1" applyBorder="1"/>
    <xf numFmtId="4" fontId="10" fillId="0" borderId="23" xfId="0" applyNumberFormat="1" applyFont="1" applyBorder="1"/>
    <xf numFmtId="4" fontId="10" fillId="0" borderId="24" xfId="0" applyNumberFormat="1" applyFont="1" applyBorder="1"/>
    <xf numFmtId="0" fontId="11" fillId="0" borderId="25" xfId="0" applyFont="1" applyBorder="1"/>
    <xf numFmtId="0" fontId="11" fillId="0" borderId="26" xfId="0" applyFont="1" applyBorder="1"/>
    <xf numFmtId="0" fontId="11" fillId="0" borderId="24" xfId="0" applyFont="1" applyBorder="1"/>
    <xf numFmtId="0" fontId="11" fillId="0" borderId="22" xfId="0" applyFont="1" applyBorder="1"/>
    <xf numFmtId="43" fontId="11" fillId="0" borderId="26" xfId="1" applyFont="1" applyBorder="1"/>
    <xf numFmtId="4" fontId="10" fillId="0" borderId="11" xfId="0" applyNumberFormat="1" applyFont="1" applyBorder="1"/>
    <xf numFmtId="0" fontId="10" fillId="0" borderId="27" xfId="0" applyFont="1" applyBorder="1"/>
    <xf numFmtId="0" fontId="10" fillId="0" borderId="23" xfId="0" applyFont="1" applyBorder="1"/>
    <xf numFmtId="0" fontId="10" fillId="0" borderId="25" xfId="0" applyFont="1" applyBorder="1"/>
    <xf numFmtId="0" fontId="10" fillId="0" borderId="24" xfId="0" applyFont="1" applyBorder="1"/>
    <xf numFmtId="43" fontId="10" fillId="0" borderId="25" xfId="1" applyFont="1" applyBorder="1"/>
    <xf numFmtId="0" fontId="10" fillId="0" borderId="26" xfId="0" applyFont="1" applyBorder="1"/>
    <xf numFmtId="0" fontId="10" fillId="0" borderId="22" xfId="0" applyFont="1" applyBorder="1"/>
    <xf numFmtId="4" fontId="10" fillId="0" borderId="26" xfId="0" applyNumberFormat="1" applyFont="1" applyBorder="1"/>
    <xf numFmtId="4" fontId="10" fillId="0" borderId="27" xfId="0" applyNumberFormat="1" applyFont="1" applyBorder="1"/>
    <xf numFmtId="43" fontId="10" fillId="0" borderId="26" xfId="1" applyFont="1" applyBorder="1"/>
    <xf numFmtId="43" fontId="10" fillId="0" borderId="27" xfId="1" applyFont="1" applyBorder="1"/>
    <xf numFmtId="4" fontId="10" fillId="0" borderId="25" xfId="0" applyNumberFormat="1" applyFont="1" applyBorder="1"/>
    <xf numFmtId="0" fontId="12" fillId="0" borderId="0" xfId="0" applyFont="1"/>
    <xf numFmtId="0" fontId="10" fillId="0" borderId="32" xfId="0" applyFont="1" applyBorder="1"/>
    <xf numFmtId="4" fontId="10" fillId="0" borderId="32" xfId="0" applyNumberFormat="1" applyFont="1" applyBorder="1"/>
    <xf numFmtId="4" fontId="10" fillId="0" borderId="30" xfId="0" applyNumberFormat="1" applyFont="1" applyBorder="1"/>
    <xf numFmtId="4" fontId="10" fillId="0" borderId="33" xfId="0" applyNumberFormat="1" applyFont="1" applyBorder="1"/>
    <xf numFmtId="0" fontId="10" fillId="0" borderId="30" xfId="0" applyFont="1" applyBorder="1"/>
    <xf numFmtId="43" fontId="10" fillId="0" borderId="33" xfId="1" applyFont="1" applyBorder="1"/>
    <xf numFmtId="43" fontId="10" fillId="0" borderId="25" xfId="1" applyFont="1" applyBorder="1" applyAlignment="1">
      <alignment horizontal="center"/>
    </xf>
    <xf numFmtId="4" fontId="10" fillId="0" borderId="36" xfId="0" applyNumberFormat="1" applyFont="1" applyBorder="1"/>
    <xf numFmtId="4" fontId="10" fillId="0" borderId="37" xfId="0" applyNumberFormat="1" applyFont="1" applyBorder="1"/>
    <xf numFmtId="4" fontId="10" fillId="0" borderId="38" xfId="0" applyNumberFormat="1" applyFont="1" applyBorder="1"/>
    <xf numFmtId="0" fontId="10" fillId="0" borderId="37" xfId="0" applyFont="1" applyBorder="1"/>
    <xf numFmtId="164" fontId="10" fillId="0" borderId="38" xfId="0" applyNumberFormat="1" applyFont="1" applyBorder="1"/>
    <xf numFmtId="4" fontId="10" fillId="0" borderId="40" xfId="0" applyNumberFormat="1" applyFont="1" applyBorder="1"/>
    <xf numFmtId="4" fontId="10" fillId="0" borderId="39" xfId="0" applyNumberFormat="1" applyFont="1" applyBorder="1"/>
    <xf numFmtId="4" fontId="10" fillId="0" borderId="28" xfId="0" applyNumberFormat="1" applyFont="1" applyBorder="1"/>
    <xf numFmtId="4" fontId="10" fillId="0" borderId="41" xfId="0" applyNumberFormat="1" applyFont="1" applyBorder="1"/>
    <xf numFmtId="0" fontId="6" fillId="0" borderId="35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34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60"/>
  <sheetViews>
    <sheetView tabSelected="1" topLeftCell="A49" zoomScale="112" zoomScaleNormal="112" workbookViewId="0">
      <selection activeCell="C64" sqref="C64"/>
    </sheetView>
  </sheetViews>
  <sheetFormatPr defaultRowHeight="11.25" x14ac:dyDescent="0.2"/>
  <cols>
    <col min="1" max="2" width="2.7109375" style="1" customWidth="1"/>
    <col min="3" max="3" width="35.5703125" style="1" customWidth="1"/>
    <col min="4" max="5" width="10.7109375" style="1" customWidth="1"/>
    <col min="6" max="6" width="3.140625" style="1" customWidth="1"/>
    <col min="7" max="7" width="10.7109375" style="1" customWidth="1"/>
    <col min="8" max="8" width="3.140625" style="1" customWidth="1"/>
    <col min="9" max="9" width="10.7109375" style="1" customWidth="1"/>
    <col min="10" max="11" width="10.140625" style="1" bestFit="1" customWidth="1"/>
    <col min="12" max="12" width="11.5703125" style="1" bestFit="1" customWidth="1"/>
    <col min="13" max="13" width="10.140625" style="1" bestFit="1" customWidth="1"/>
    <col min="14" max="14" width="2.42578125" style="1" bestFit="1" customWidth="1"/>
    <col min="15" max="16384" width="9.140625" style="1"/>
  </cols>
  <sheetData>
    <row r="1" spans="2:14" ht="15.75" x14ac:dyDescent="0.25">
      <c r="B1" s="27" t="s">
        <v>0</v>
      </c>
      <c r="C1" s="28" t="s">
        <v>12</v>
      </c>
      <c r="E1" s="26" t="s">
        <v>1</v>
      </c>
      <c r="I1" s="26"/>
      <c r="K1" s="26" t="s">
        <v>2</v>
      </c>
    </row>
    <row r="2" spans="2:14" ht="8.25" customHeight="1" x14ac:dyDescent="0.2">
      <c r="B2" s="26"/>
    </row>
    <row r="3" spans="2:14" s="2" customFormat="1" ht="15" x14ac:dyDescent="0.2">
      <c r="B3" s="9" t="s">
        <v>3</v>
      </c>
      <c r="C3" s="74" t="s">
        <v>13</v>
      </c>
      <c r="D3" s="74"/>
      <c r="E3" s="74"/>
      <c r="F3" s="74"/>
      <c r="G3" s="74"/>
      <c r="H3" s="74"/>
      <c r="I3" s="74"/>
      <c r="K3" s="56"/>
    </row>
    <row r="4" spans="2:14" s="2" customFormat="1" ht="15" x14ac:dyDescent="0.2">
      <c r="B4" s="9" t="s">
        <v>3</v>
      </c>
      <c r="C4" s="73" t="s">
        <v>14</v>
      </c>
      <c r="D4" s="73"/>
      <c r="E4" s="73"/>
      <c r="F4" s="73"/>
      <c r="G4" s="73"/>
      <c r="H4" s="73"/>
      <c r="I4" s="73"/>
    </row>
    <row r="5" spans="2:14" s="2" customFormat="1" ht="15" x14ac:dyDescent="0.2">
      <c r="B5" s="9" t="s">
        <v>3</v>
      </c>
      <c r="C5" s="73" t="s">
        <v>15</v>
      </c>
      <c r="D5" s="73"/>
      <c r="E5" s="73"/>
      <c r="F5" s="73"/>
      <c r="G5" s="73"/>
      <c r="H5" s="73"/>
      <c r="I5" s="73"/>
    </row>
    <row r="6" spans="2:14" s="5" customFormat="1" ht="9" thickBot="1" x14ac:dyDescent="0.2">
      <c r="B6" s="3"/>
      <c r="C6" s="3"/>
      <c r="D6" s="4">
        <v>1</v>
      </c>
      <c r="E6" s="4">
        <v>2</v>
      </c>
      <c r="F6" s="4"/>
      <c r="G6" s="4">
        <v>3</v>
      </c>
      <c r="H6" s="4"/>
      <c r="I6" s="4">
        <v>4</v>
      </c>
      <c r="J6" s="15">
        <v>5</v>
      </c>
      <c r="K6" s="15">
        <v>6</v>
      </c>
      <c r="L6" s="15">
        <v>7</v>
      </c>
      <c r="M6" s="15">
        <v>8</v>
      </c>
      <c r="N6" s="16"/>
    </row>
    <row r="7" spans="2:14" s="12" customFormat="1" ht="12.95" customHeight="1" thickTop="1" x14ac:dyDescent="0.2">
      <c r="B7" s="10"/>
      <c r="C7" s="11"/>
      <c r="D7" s="75" t="s">
        <v>4</v>
      </c>
      <c r="E7" s="76"/>
      <c r="F7" s="77" t="s">
        <v>5</v>
      </c>
      <c r="G7" s="78"/>
      <c r="H7" s="78"/>
      <c r="I7" s="79"/>
      <c r="J7" s="17" t="s">
        <v>6</v>
      </c>
      <c r="K7" s="18"/>
      <c r="L7" s="19" t="s">
        <v>7</v>
      </c>
      <c r="M7" s="20"/>
      <c r="N7" s="21"/>
    </row>
    <row r="8" spans="2:14" s="12" customFormat="1" ht="12.95" customHeight="1" x14ac:dyDescent="0.2">
      <c r="B8" s="10"/>
      <c r="C8" s="11"/>
      <c r="D8" s="86" t="s">
        <v>8</v>
      </c>
      <c r="E8" s="88" t="s">
        <v>9</v>
      </c>
      <c r="F8" s="86" t="s">
        <v>8</v>
      </c>
      <c r="G8" s="90"/>
      <c r="H8" s="86" t="s">
        <v>9</v>
      </c>
      <c r="I8" s="90"/>
      <c r="J8" s="80" t="s">
        <v>8</v>
      </c>
      <c r="K8" s="82" t="s">
        <v>9</v>
      </c>
      <c r="L8" s="80" t="s">
        <v>8</v>
      </c>
      <c r="M8" s="84" t="s">
        <v>9</v>
      </c>
      <c r="N8" s="21"/>
    </row>
    <row r="9" spans="2:14" s="12" customFormat="1" ht="12.95" customHeight="1" thickBot="1" x14ac:dyDescent="0.25">
      <c r="B9" s="13"/>
      <c r="C9" s="14" t="s">
        <v>10</v>
      </c>
      <c r="D9" s="87"/>
      <c r="E9" s="89"/>
      <c r="F9" s="87"/>
      <c r="G9" s="91"/>
      <c r="H9" s="87"/>
      <c r="I9" s="91"/>
      <c r="J9" s="81"/>
      <c r="K9" s="83"/>
      <c r="L9" s="81"/>
      <c r="M9" s="85"/>
      <c r="N9" s="22"/>
    </row>
    <row r="10" spans="2:14" ht="15.95" customHeight="1" thickTop="1" x14ac:dyDescent="0.2">
      <c r="B10" s="6">
        <v>1</v>
      </c>
      <c r="C10" s="29" t="s">
        <v>16</v>
      </c>
      <c r="D10" s="30">
        <v>4900</v>
      </c>
      <c r="E10" s="30"/>
      <c r="F10" s="35"/>
      <c r="G10" s="43"/>
      <c r="H10" s="35"/>
      <c r="I10" s="43"/>
      <c r="J10" s="30"/>
      <c r="K10" s="30"/>
      <c r="L10" s="30">
        <f>D10</f>
        <v>4900</v>
      </c>
      <c r="M10" s="35"/>
      <c r="N10" s="23">
        <v>1</v>
      </c>
    </row>
    <row r="11" spans="2:14" ht="15.95" customHeight="1" x14ac:dyDescent="0.2">
      <c r="B11" s="7">
        <f t="shared" ref="B11:B20" si="0">B10+1</f>
        <v>2</v>
      </c>
      <c r="C11" s="31" t="s">
        <v>17</v>
      </c>
      <c r="D11" s="32">
        <v>75</v>
      </c>
      <c r="E11" s="32"/>
      <c r="F11" s="36"/>
      <c r="G11" s="52"/>
      <c r="H11" s="45"/>
      <c r="I11" s="44"/>
      <c r="J11" s="32"/>
      <c r="K11" s="32"/>
      <c r="L11" s="32">
        <f>D11</f>
        <v>75</v>
      </c>
      <c r="M11" s="36"/>
      <c r="N11" s="24">
        <f t="shared" ref="N11:N20" si="1">N10+1</f>
        <v>2</v>
      </c>
    </row>
    <row r="12" spans="2:14" ht="15.95" customHeight="1" thickBot="1" x14ac:dyDescent="0.25">
      <c r="B12" s="8">
        <f t="shared" si="0"/>
        <v>3</v>
      </c>
      <c r="C12" s="33" t="s">
        <v>18</v>
      </c>
      <c r="D12" s="34">
        <v>1387</v>
      </c>
      <c r="E12" s="34"/>
      <c r="F12" s="37"/>
      <c r="G12" s="55"/>
      <c r="H12" s="47"/>
      <c r="I12" s="48"/>
      <c r="J12" s="34"/>
      <c r="K12" s="34"/>
      <c r="L12" s="34">
        <f>D12</f>
        <v>1387</v>
      </c>
      <c r="M12" s="37"/>
      <c r="N12" s="25">
        <f t="shared" si="1"/>
        <v>3</v>
      </c>
    </row>
    <row r="13" spans="2:14" ht="15.95" customHeight="1" x14ac:dyDescent="0.2">
      <c r="B13" s="6">
        <f t="shared" si="0"/>
        <v>4</v>
      </c>
      <c r="C13" s="29" t="s">
        <v>19</v>
      </c>
      <c r="D13" s="30">
        <v>228</v>
      </c>
      <c r="E13" s="30"/>
      <c r="F13" s="35"/>
      <c r="G13" s="51"/>
      <c r="H13" s="50" t="s">
        <v>38</v>
      </c>
      <c r="I13" s="51">
        <v>153</v>
      </c>
      <c r="J13" s="30"/>
      <c r="K13" s="30"/>
      <c r="L13" s="30">
        <f>D13-I13</f>
        <v>75</v>
      </c>
      <c r="M13" s="35"/>
      <c r="N13" s="23">
        <f t="shared" si="1"/>
        <v>4</v>
      </c>
    </row>
    <row r="14" spans="2:14" ht="15.95" customHeight="1" x14ac:dyDescent="0.2">
      <c r="B14" s="7">
        <f t="shared" si="0"/>
        <v>5</v>
      </c>
      <c r="C14" s="31" t="s">
        <v>20</v>
      </c>
      <c r="D14" s="32">
        <v>375</v>
      </c>
      <c r="E14" s="32"/>
      <c r="F14" s="36"/>
      <c r="G14" s="52"/>
      <c r="H14" s="45" t="s">
        <v>39</v>
      </c>
      <c r="I14" s="52">
        <v>125</v>
      </c>
      <c r="J14" s="32"/>
      <c r="K14" s="32"/>
      <c r="L14" s="32">
        <f>D14-I14</f>
        <v>250</v>
      </c>
      <c r="M14" s="36"/>
      <c r="N14" s="24">
        <f t="shared" si="1"/>
        <v>5</v>
      </c>
    </row>
    <row r="15" spans="2:14" ht="15.95" customHeight="1" thickBot="1" x14ac:dyDescent="0.25">
      <c r="B15" s="8">
        <f t="shared" si="0"/>
        <v>6</v>
      </c>
      <c r="C15" s="33" t="s">
        <v>21</v>
      </c>
      <c r="D15" s="34"/>
      <c r="E15" s="34">
        <v>267</v>
      </c>
      <c r="F15" s="37"/>
      <c r="G15" s="55"/>
      <c r="H15" s="47"/>
      <c r="I15" s="48"/>
      <c r="J15" s="34"/>
      <c r="K15" s="34"/>
      <c r="L15" s="34"/>
      <c r="M15" s="37">
        <f>E15</f>
        <v>267</v>
      </c>
      <c r="N15" s="25">
        <f t="shared" si="1"/>
        <v>6</v>
      </c>
    </row>
    <row r="16" spans="2:14" ht="15.95" customHeight="1" x14ac:dyDescent="0.2">
      <c r="B16" s="6">
        <f t="shared" si="0"/>
        <v>7</v>
      </c>
      <c r="C16" s="29" t="s">
        <v>22</v>
      </c>
      <c r="D16" s="30"/>
      <c r="E16" s="30">
        <v>7443</v>
      </c>
      <c r="F16" s="35"/>
      <c r="G16" s="51"/>
      <c r="H16" s="50"/>
      <c r="I16" s="53"/>
      <c r="J16" s="30"/>
      <c r="K16" s="30"/>
      <c r="L16" s="30"/>
      <c r="M16" s="35">
        <f>E16</f>
        <v>7443</v>
      </c>
      <c r="N16" s="23">
        <f t="shared" si="1"/>
        <v>7</v>
      </c>
    </row>
    <row r="17" spans="2:14" ht="15.95" customHeight="1" x14ac:dyDescent="0.2">
      <c r="B17" s="7">
        <f t="shared" si="0"/>
        <v>8</v>
      </c>
      <c r="C17" s="31" t="s">
        <v>23</v>
      </c>
      <c r="D17" s="32">
        <v>1700</v>
      </c>
      <c r="E17" s="32"/>
      <c r="F17" s="36"/>
      <c r="G17" s="52"/>
      <c r="H17" s="45"/>
      <c r="I17" s="54"/>
      <c r="J17" s="32"/>
      <c r="K17" s="32"/>
      <c r="L17" s="32">
        <f>D17</f>
        <v>1700</v>
      </c>
      <c r="M17" s="36"/>
      <c r="N17" s="24">
        <f t="shared" si="1"/>
        <v>8</v>
      </c>
    </row>
    <row r="18" spans="2:14" ht="15.95" customHeight="1" thickBot="1" x14ac:dyDescent="0.25">
      <c r="B18" s="8">
        <f t="shared" si="0"/>
        <v>9</v>
      </c>
      <c r="C18" s="33" t="s">
        <v>24</v>
      </c>
      <c r="D18" s="34"/>
      <c r="E18" s="34"/>
      <c r="F18" s="37"/>
      <c r="G18" s="55"/>
      <c r="H18" s="47"/>
      <c r="I18" s="48"/>
      <c r="J18" s="34"/>
      <c r="K18" s="34"/>
      <c r="L18" s="34"/>
      <c r="M18" s="37"/>
      <c r="N18" s="25">
        <f t="shared" si="1"/>
        <v>9</v>
      </c>
    </row>
    <row r="19" spans="2:14" ht="15.95" customHeight="1" x14ac:dyDescent="0.2">
      <c r="B19" s="6">
        <f t="shared" si="0"/>
        <v>10</v>
      </c>
      <c r="C19" s="29" t="s">
        <v>25</v>
      </c>
      <c r="D19" s="30"/>
      <c r="E19" s="30">
        <v>2160</v>
      </c>
      <c r="F19" s="35"/>
      <c r="G19" s="51"/>
      <c r="H19" s="50"/>
      <c r="I19" s="49"/>
      <c r="J19" s="30"/>
      <c r="K19" s="30">
        <f>E19</f>
        <v>2160</v>
      </c>
      <c r="L19" s="30"/>
      <c r="M19" s="35"/>
      <c r="N19" s="23">
        <f t="shared" si="1"/>
        <v>10</v>
      </c>
    </row>
    <row r="20" spans="2:14" ht="15.95" customHeight="1" x14ac:dyDescent="0.2">
      <c r="B20" s="7">
        <f t="shared" si="0"/>
        <v>11</v>
      </c>
      <c r="C20" s="31" t="s">
        <v>26</v>
      </c>
      <c r="D20" s="32">
        <v>460</v>
      </c>
      <c r="E20" s="32"/>
      <c r="F20" s="36"/>
      <c r="G20" s="52"/>
      <c r="H20" s="45"/>
      <c r="I20" s="54"/>
      <c r="J20" s="32">
        <f>D20</f>
        <v>460</v>
      </c>
      <c r="K20" s="32"/>
      <c r="L20" s="32"/>
      <c r="M20" s="36"/>
      <c r="N20" s="24">
        <f t="shared" si="1"/>
        <v>11</v>
      </c>
    </row>
    <row r="21" spans="2:14" ht="15.95" customHeight="1" thickBot="1" x14ac:dyDescent="0.25">
      <c r="B21" s="8">
        <f t="shared" ref="B21:B29" si="2">B20+1</f>
        <v>12</v>
      </c>
      <c r="C21" s="57" t="s">
        <v>27</v>
      </c>
      <c r="D21" s="58">
        <v>6</v>
      </c>
      <c r="E21" s="58"/>
      <c r="F21" s="59"/>
      <c r="G21" s="60"/>
      <c r="H21" s="61"/>
      <c r="I21" s="62"/>
      <c r="J21" s="58">
        <f>D21</f>
        <v>6</v>
      </c>
      <c r="K21" s="58"/>
      <c r="L21" s="58"/>
      <c r="M21" s="59"/>
      <c r="N21" s="25">
        <f t="shared" ref="N21:N29" si="3">N20+1</f>
        <v>12</v>
      </c>
    </row>
    <row r="22" spans="2:14" ht="15.95" customHeight="1" thickBot="1" x14ac:dyDescent="0.25">
      <c r="B22" s="6">
        <f t="shared" si="2"/>
        <v>13</v>
      </c>
      <c r="C22" s="33" t="s">
        <v>28</v>
      </c>
      <c r="D22" s="34"/>
      <c r="E22" s="34"/>
      <c r="F22" s="37" t="s">
        <v>39</v>
      </c>
      <c r="G22" s="55">
        <v>125</v>
      </c>
      <c r="H22" s="47"/>
      <c r="I22" s="46"/>
      <c r="J22" s="34">
        <f>G22</f>
        <v>125</v>
      </c>
      <c r="K22" s="34"/>
      <c r="L22" s="34"/>
      <c r="M22" s="37"/>
      <c r="N22" s="23">
        <f t="shared" si="3"/>
        <v>13</v>
      </c>
    </row>
    <row r="23" spans="2:14" ht="15.95" customHeight="1" x14ac:dyDescent="0.2">
      <c r="B23" s="7">
        <f t="shared" si="2"/>
        <v>14</v>
      </c>
      <c r="C23" s="29" t="s">
        <v>29</v>
      </c>
      <c r="D23" s="30">
        <v>189</v>
      </c>
      <c r="E23" s="30"/>
      <c r="F23" s="35"/>
      <c r="G23" s="51"/>
      <c r="H23" s="50"/>
      <c r="I23" s="53"/>
      <c r="J23" s="30">
        <f>D23</f>
        <v>189</v>
      </c>
      <c r="K23" s="30"/>
      <c r="L23" s="30"/>
      <c r="M23" s="35"/>
      <c r="N23" s="24">
        <f t="shared" si="3"/>
        <v>14</v>
      </c>
    </row>
    <row r="24" spans="2:14" ht="15.95" customHeight="1" thickBot="1" x14ac:dyDescent="0.25">
      <c r="B24" s="8">
        <f t="shared" si="2"/>
        <v>15</v>
      </c>
      <c r="C24" s="31" t="s">
        <v>30</v>
      </c>
      <c r="D24" s="32"/>
      <c r="E24" s="32"/>
      <c r="F24" s="36" t="s">
        <v>38</v>
      </c>
      <c r="G24" s="52">
        <v>153</v>
      </c>
      <c r="H24" s="45"/>
      <c r="I24" s="44"/>
      <c r="J24" s="32">
        <f>G24</f>
        <v>153</v>
      </c>
      <c r="K24" s="32"/>
      <c r="L24" s="32"/>
      <c r="M24" s="36"/>
      <c r="N24" s="25">
        <f t="shared" si="3"/>
        <v>15</v>
      </c>
    </row>
    <row r="25" spans="2:14" ht="15.95" customHeight="1" thickBot="1" x14ac:dyDescent="0.25">
      <c r="B25" s="6">
        <f t="shared" si="2"/>
        <v>16</v>
      </c>
      <c r="C25" s="33" t="s">
        <v>31</v>
      </c>
      <c r="D25" s="58">
        <v>550</v>
      </c>
      <c r="E25" s="58"/>
      <c r="F25" s="59"/>
      <c r="G25" s="60"/>
      <c r="H25" s="61"/>
      <c r="I25" s="62"/>
      <c r="J25" s="58">
        <f>D25</f>
        <v>550</v>
      </c>
      <c r="K25" s="58"/>
      <c r="L25" s="58"/>
      <c r="M25" s="59"/>
      <c r="N25" s="23">
        <f t="shared" si="3"/>
        <v>16</v>
      </c>
    </row>
    <row r="26" spans="2:14" ht="15.95" customHeight="1" thickTop="1" thickBot="1" x14ac:dyDescent="0.25">
      <c r="B26" s="7">
        <f t="shared" si="2"/>
        <v>17</v>
      </c>
      <c r="C26" s="29"/>
      <c r="D26" s="64">
        <f>SUM(D10:D25)</f>
        <v>9870</v>
      </c>
      <c r="E26" s="64">
        <f>SUM(E10:E25)</f>
        <v>9870</v>
      </c>
      <c r="F26" s="65"/>
      <c r="G26" s="66">
        <f>SUM(G10:G25)</f>
        <v>278</v>
      </c>
      <c r="H26" s="67"/>
      <c r="I26" s="66">
        <f>SUM(I10:I25)</f>
        <v>278</v>
      </c>
      <c r="J26" s="69">
        <f>SUM(J20:J25)</f>
        <v>1483</v>
      </c>
      <c r="K26" s="69">
        <f>SUM(K19:K25)</f>
        <v>2160</v>
      </c>
      <c r="L26" s="69">
        <f>SUM(L10:L25)</f>
        <v>8387</v>
      </c>
      <c r="M26" s="70">
        <f>SUM(M15:M25)</f>
        <v>7710</v>
      </c>
      <c r="N26" s="24">
        <f t="shared" si="3"/>
        <v>17</v>
      </c>
    </row>
    <row r="27" spans="2:14" ht="15.95" customHeight="1" thickTop="1" thickBot="1" x14ac:dyDescent="0.25">
      <c r="B27" s="8">
        <f t="shared" si="2"/>
        <v>18</v>
      </c>
      <c r="C27" s="31" t="s">
        <v>40</v>
      </c>
      <c r="D27" s="30"/>
      <c r="E27" s="30"/>
      <c r="F27" s="35"/>
      <c r="G27" s="49"/>
      <c r="H27" s="50"/>
      <c r="I27" s="49"/>
      <c r="J27" s="58">
        <f>K26-J26</f>
        <v>677</v>
      </c>
      <c r="K27" s="57"/>
      <c r="L27" s="58"/>
      <c r="M27" s="71">
        <f>J27</f>
        <v>677</v>
      </c>
      <c r="N27" s="25">
        <f t="shared" si="3"/>
        <v>18</v>
      </c>
    </row>
    <row r="28" spans="2:14" ht="15.95" customHeight="1" thickTop="1" thickBot="1" x14ac:dyDescent="0.25">
      <c r="B28" s="6">
        <f t="shared" si="2"/>
        <v>19</v>
      </c>
      <c r="C28" s="33"/>
      <c r="D28" s="34"/>
      <c r="E28" s="34"/>
      <c r="F28" s="37"/>
      <c r="G28" s="46"/>
      <c r="H28" s="47"/>
      <c r="I28" s="46"/>
      <c r="J28" s="64">
        <f>J26+J27</f>
        <v>2160</v>
      </c>
      <c r="K28" s="64">
        <f>K26+K27</f>
        <v>2160</v>
      </c>
      <c r="L28" s="64">
        <f>L26</f>
        <v>8387</v>
      </c>
      <c r="M28" s="72">
        <f>M26+M27</f>
        <v>8387</v>
      </c>
      <c r="N28" s="23">
        <f t="shared" si="3"/>
        <v>19</v>
      </c>
    </row>
    <row r="29" spans="2:14" ht="15.95" customHeight="1" x14ac:dyDescent="0.2">
      <c r="B29" s="6">
        <f t="shared" si="2"/>
        <v>20</v>
      </c>
      <c r="C29" s="29"/>
      <c r="D29" s="30"/>
      <c r="E29" s="30"/>
      <c r="F29" s="35"/>
      <c r="G29" s="49"/>
      <c r="H29" s="50"/>
      <c r="I29" s="53"/>
      <c r="J29" s="29"/>
      <c r="K29" s="29"/>
      <c r="L29" s="30"/>
      <c r="M29" s="35"/>
      <c r="N29" s="23">
        <f t="shared" si="3"/>
        <v>20</v>
      </c>
    </row>
    <row r="32" spans="2:14" ht="15.75" x14ac:dyDescent="0.25">
      <c r="B32" s="27" t="s">
        <v>0</v>
      </c>
      <c r="C32" s="28" t="str">
        <f>C1</f>
        <v>Dhruv Patil</v>
      </c>
      <c r="E32" s="26" t="s">
        <v>11</v>
      </c>
      <c r="F32" s="26"/>
      <c r="K32" s="26" t="s">
        <v>2</v>
      </c>
    </row>
    <row r="33" spans="1:14" ht="15" x14ac:dyDescent="0.2">
      <c r="B33" s="26"/>
    </row>
    <row r="34" spans="1:14" ht="15" x14ac:dyDescent="0.2">
      <c r="A34" s="2"/>
      <c r="B34" s="9" t="s">
        <v>3</v>
      </c>
      <c r="C34" s="74" t="s">
        <v>32</v>
      </c>
      <c r="D34" s="74"/>
      <c r="E34" s="74"/>
      <c r="F34" s="74"/>
      <c r="G34" s="74"/>
      <c r="H34" s="74"/>
      <c r="I34" s="74"/>
      <c r="J34" s="2"/>
      <c r="K34" s="2"/>
      <c r="L34" s="2"/>
      <c r="M34" s="2"/>
      <c r="N34" s="2"/>
    </row>
    <row r="35" spans="1:14" ht="15" x14ac:dyDescent="0.2">
      <c r="A35" s="2"/>
      <c r="B35" s="9" t="s">
        <v>3</v>
      </c>
      <c r="C35" s="73" t="s">
        <v>14</v>
      </c>
      <c r="D35" s="73"/>
      <c r="E35" s="73"/>
      <c r="F35" s="73"/>
      <c r="G35" s="73"/>
      <c r="H35" s="73"/>
      <c r="I35" s="73"/>
      <c r="J35" s="2"/>
      <c r="K35" s="2"/>
      <c r="L35" s="2"/>
      <c r="M35" s="2"/>
      <c r="N35" s="2"/>
    </row>
    <row r="36" spans="1:14" ht="15" x14ac:dyDescent="0.2">
      <c r="A36" s="2"/>
      <c r="B36" s="9" t="s">
        <v>3</v>
      </c>
      <c r="C36" s="73" t="s">
        <v>33</v>
      </c>
      <c r="D36" s="73"/>
      <c r="E36" s="73"/>
      <c r="F36" s="73"/>
      <c r="G36" s="73"/>
      <c r="H36" s="73"/>
      <c r="I36" s="73"/>
      <c r="J36" s="2"/>
      <c r="K36" s="2"/>
      <c r="L36" s="2"/>
      <c r="M36" s="2"/>
      <c r="N36" s="2"/>
    </row>
    <row r="37" spans="1:14" ht="12" thickBot="1" x14ac:dyDescent="0.25">
      <c r="A37" s="5"/>
      <c r="B37" s="3"/>
      <c r="C37" s="3"/>
      <c r="D37" s="4">
        <v>1</v>
      </c>
      <c r="E37" s="4">
        <v>2</v>
      </c>
      <c r="F37" s="4"/>
      <c r="G37" s="4">
        <v>3</v>
      </c>
      <c r="H37" s="4"/>
      <c r="I37" s="4">
        <v>4</v>
      </c>
      <c r="J37" s="15">
        <v>5</v>
      </c>
      <c r="K37" s="15">
        <v>6</v>
      </c>
      <c r="L37" s="15">
        <v>7</v>
      </c>
      <c r="M37" s="15">
        <v>8</v>
      </c>
      <c r="N37" s="16"/>
    </row>
    <row r="38" spans="1:14" ht="12.75" thickTop="1" x14ac:dyDescent="0.2">
      <c r="A38" s="12"/>
      <c r="B38" s="10"/>
      <c r="C38" s="11"/>
      <c r="D38" s="75" t="s">
        <v>4</v>
      </c>
      <c r="E38" s="76"/>
      <c r="F38" s="77" t="s">
        <v>5</v>
      </c>
      <c r="G38" s="78"/>
      <c r="H38" s="78"/>
      <c r="I38" s="79"/>
      <c r="J38" s="17" t="s">
        <v>6</v>
      </c>
      <c r="K38" s="18"/>
      <c r="L38" s="19" t="s">
        <v>7</v>
      </c>
      <c r="M38" s="20"/>
      <c r="N38" s="21"/>
    </row>
    <row r="39" spans="1:14" ht="12" x14ac:dyDescent="0.2">
      <c r="A39" s="12"/>
      <c r="B39" s="10"/>
      <c r="C39" s="11"/>
      <c r="D39" s="86" t="s">
        <v>8</v>
      </c>
      <c r="E39" s="88" t="s">
        <v>9</v>
      </c>
      <c r="F39" s="86" t="s">
        <v>8</v>
      </c>
      <c r="G39" s="90"/>
      <c r="H39" s="86" t="s">
        <v>9</v>
      </c>
      <c r="I39" s="90"/>
      <c r="J39" s="80" t="s">
        <v>8</v>
      </c>
      <c r="K39" s="82" t="s">
        <v>9</v>
      </c>
      <c r="L39" s="80" t="s">
        <v>8</v>
      </c>
      <c r="M39" s="84" t="s">
        <v>9</v>
      </c>
      <c r="N39" s="21"/>
    </row>
    <row r="40" spans="1:14" ht="12.75" thickBot="1" x14ac:dyDescent="0.25">
      <c r="A40" s="12"/>
      <c r="B40" s="13"/>
      <c r="C40" s="14" t="s">
        <v>10</v>
      </c>
      <c r="D40" s="87"/>
      <c r="E40" s="89"/>
      <c r="F40" s="87"/>
      <c r="G40" s="91"/>
      <c r="H40" s="87"/>
      <c r="I40" s="91"/>
      <c r="J40" s="81"/>
      <c r="K40" s="83"/>
      <c r="L40" s="81"/>
      <c r="M40" s="85"/>
      <c r="N40" s="22"/>
    </row>
    <row r="41" spans="1:14" ht="15" thickTop="1" x14ac:dyDescent="0.2">
      <c r="B41" s="6">
        <v>1</v>
      </c>
      <c r="C41" s="29" t="s">
        <v>16</v>
      </c>
      <c r="D41" s="30">
        <v>13600</v>
      </c>
      <c r="E41" s="30"/>
      <c r="F41" s="35"/>
      <c r="G41" s="43"/>
      <c r="H41" s="35"/>
      <c r="I41" s="43"/>
      <c r="J41" s="30"/>
      <c r="K41" s="30"/>
      <c r="L41" s="30">
        <f>D41</f>
        <v>13600</v>
      </c>
      <c r="M41" s="35"/>
      <c r="N41" s="23">
        <v>1</v>
      </c>
    </row>
    <row r="42" spans="1:14" ht="14.25" x14ac:dyDescent="0.2">
      <c r="B42" s="7">
        <f t="shared" ref="B42:B51" si="4">B41+1</f>
        <v>2</v>
      </c>
      <c r="C42" s="31" t="s">
        <v>17</v>
      </c>
      <c r="D42" s="32">
        <v>150</v>
      </c>
      <c r="E42" s="32"/>
      <c r="F42" s="36"/>
      <c r="G42" s="52"/>
      <c r="H42" s="45"/>
      <c r="I42" s="44"/>
      <c r="J42" s="32"/>
      <c r="K42" s="32"/>
      <c r="L42" s="32">
        <f>D42</f>
        <v>150</v>
      </c>
      <c r="M42" s="36"/>
      <c r="N42" s="24">
        <f t="shared" ref="N42:N51" si="5">N41+1</f>
        <v>2</v>
      </c>
    </row>
    <row r="43" spans="1:14" ht="15" thickBot="1" x14ac:dyDescent="0.25">
      <c r="B43" s="8">
        <f t="shared" si="4"/>
        <v>3</v>
      </c>
      <c r="C43" s="33" t="s">
        <v>34</v>
      </c>
      <c r="D43" s="34">
        <v>2996</v>
      </c>
      <c r="E43" s="34"/>
      <c r="F43" s="37"/>
      <c r="G43" s="55"/>
      <c r="J43" s="34"/>
      <c r="K43" s="34"/>
      <c r="L43" s="34">
        <f>D43</f>
        <v>2996</v>
      </c>
      <c r="M43" s="37"/>
      <c r="N43" s="25">
        <f t="shared" si="5"/>
        <v>3</v>
      </c>
    </row>
    <row r="44" spans="1:14" ht="15" thickBot="1" x14ac:dyDescent="0.25">
      <c r="B44" s="6">
        <f t="shared" si="4"/>
        <v>4</v>
      </c>
      <c r="C44" s="29" t="s">
        <v>19</v>
      </c>
      <c r="D44" s="30">
        <v>476</v>
      </c>
      <c r="E44" s="30"/>
      <c r="F44" s="35"/>
      <c r="G44" s="51"/>
      <c r="H44" s="47" t="s">
        <v>38</v>
      </c>
      <c r="I44" s="63">
        <v>236</v>
      </c>
      <c r="J44" s="30"/>
      <c r="K44" s="30"/>
      <c r="L44" s="30">
        <f>D44-I44</f>
        <v>240</v>
      </c>
      <c r="M44" s="35"/>
      <c r="N44" s="23">
        <f t="shared" si="5"/>
        <v>4</v>
      </c>
    </row>
    <row r="45" spans="1:14" ht="14.25" x14ac:dyDescent="0.2">
      <c r="B45" s="7">
        <f t="shared" si="4"/>
        <v>5</v>
      </c>
      <c r="C45" s="31" t="s">
        <v>20</v>
      </c>
      <c r="D45" s="32">
        <v>650</v>
      </c>
      <c r="E45" s="32"/>
      <c r="F45" s="36"/>
      <c r="G45" s="52"/>
      <c r="H45" s="50" t="s">
        <v>39</v>
      </c>
      <c r="I45" s="51">
        <v>130</v>
      </c>
      <c r="J45" s="32"/>
      <c r="K45" s="32"/>
      <c r="L45" s="32">
        <f>D45-I45</f>
        <v>520</v>
      </c>
      <c r="M45" s="36"/>
      <c r="N45" s="24">
        <f t="shared" si="5"/>
        <v>5</v>
      </c>
    </row>
    <row r="46" spans="1:14" ht="15" thickBot="1" x14ac:dyDescent="0.25">
      <c r="B46" s="8">
        <f t="shared" si="4"/>
        <v>6</v>
      </c>
      <c r="C46" s="33" t="s">
        <v>35</v>
      </c>
      <c r="D46" s="34"/>
      <c r="E46" s="34">
        <v>596</v>
      </c>
      <c r="F46" s="37"/>
      <c r="G46" s="55"/>
      <c r="H46" s="47"/>
      <c r="I46" s="48"/>
      <c r="J46" s="34"/>
      <c r="K46" s="34"/>
      <c r="L46" s="34"/>
      <c r="M46" s="37">
        <f>E46</f>
        <v>596</v>
      </c>
      <c r="N46" s="25">
        <f t="shared" si="5"/>
        <v>6</v>
      </c>
    </row>
    <row r="47" spans="1:14" ht="14.25" x14ac:dyDescent="0.2">
      <c r="B47" s="6">
        <f t="shared" si="4"/>
        <v>7</v>
      </c>
      <c r="C47" s="29" t="s">
        <v>36</v>
      </c>
      <c r="D47" s="30"/>
      <c r="E47" s="30">
        <v>14886</v>
      </c>
      <c r="F47" s="35"/>
      <c r="G47" s="51"/>
      <c r="H47" s="50"/>
      <c r="I47" s="53"/>
      <c r="J47" s="30"/>
      <c r="K47" s="30"/>
      <c r="L47" s="30"/>
      <c r="M47" s="35">
        <f>E47</f>
        <v>14886</v>
      </c>
      <c r="N47" s="23">
        <f t="shared" si="5"/>
        <v>7</v>
      </c>
    </row>
    <row r="48" spans="1:14" ht="14.25" x14ac:dyDescent="0.2">
      <c r="B48" s="7">
        <f t="shared" si="4"/>
        <v>8</v>
      </c>
      <c r="C48" s="31" t="s">
        <v>37</v>
      </c>
      <c r="D48" s="32">
        <v>3400</v>
      </c>
      <c r="E48" s="32"/>
      <c r="F48" s="36"/>
      <c r="G48" s="52"/>
      <c r="H48" s="45"/>
      <c r="I48" s="54"/>
      <c r="J48" s="32"/>
      <c r="K48" s="32"/>
      <c r="L48" s="32">
        <f>D48</f>
        <v>3400</v>
      </c>
      <c r="M48" s="36"/>
      <c r="N48" s="24">
        <f t="shared" si="5"/>
        <v>8</v>
      </c>
    </row>
    <row r="49" spans="2:14" ht="15" thickBot="1" x14ac:dyDescent="0.25">
      <c r="B49" s="8">
        <f t="shared" si="4"/>
        <v>9</v>
      </c>
      <c r="C49" s="33" t="s">
        <v>24</v>
      </c>
      <c r="D49" s="34"/>
      <c r="E49" s="34"/>
      <c r="F49" s="37"/>
      <c r="G49" s="55"/>
      <c r="H49" s="47"/>
      <c r="I49" s="48"/>
      <c r="J49" s="34"/>
      <c r="K49" s="34"/>
      <c r="L49" s="34"/>
      <c r="M49" s="37"/>
      <c r="N49" s="25">
        <f t="shared" si="5"/>
        <v>9</v>
      </c>
    </row>
    <row r="50" spans="2:14" ht="14.25" x14ac:dyDescent="0.2">
      <c r="B50" s="6">
        <f t="shared" si="4"/>
        <v>10</v>
      </c>
      <c r="C50" s="29" t="s">
        <v>25</v>
      </c>
      <c r="D50" s="30"/>
      <c r="E50" s="30">
        <v>8280</v>
      </c>
      <c r="F50" s="35"/>
      <c r="G50" s="51"/>
      <c r="H50" s="50"/>
      <c r="I50" s="49"/>
      <c r="J50" s="30"/>
      <c r="K50" s="30">
        <f>E50</f>
        <v>8280</v>
      </c>
      <c r="L50" s="30"/>
      <c r="M50" s="35"/>
      <c r="N50" s="23">
        <f t="shared" si="5"/>
        <v>10</v>
      </c>
    </row>
    <row r="51" spans="2:14" ht="14.25" x14ac:dyDescent="0.2">
      <c r="B51" s="7">
        <f t="shared" si="4"/>
        <v>11</v>
      </c>
      <c r="C51" s="31" t="s">
        <v>26</v>
      </c>
      <c r="D51" s="32">
        <v>910</v>
      </c>
      <c r="E51" s="32"/>
      <c r="F51" s="36"/>
      <c r="G51" s="52"/>
      <c r="H51" s="45"/>
      <c r="I51" s="54"/>
      <c r="J51" s="32">
        <f>D51</f>
        <v>910</v>
      </c>
      <c r="K51" s="32"/>
      <c r="L51" s="32"/>
      <c r="M51" s="36"/>
      <c r="N51" s="24">
        <f t="shared" si="5"/>
        <v>11</v>
      </c>
    </row>
    <row r="52" spans="2:14" ht="15" thickBot="1" x14ac:dyDescent="0.25">
      <c r="B52" s="8">
        <f t="shared" ref="B52:B60" si="6">B51+1</f>
        <v>12</v>
      </c>
      <c r="C52" s="57" t="s">
        <v>27</v>
      </c>
      <c r="D52" s="58">
        <v>2</v>
      </c>
      <c r="E52" s="58"/>
      <c r="F52" s="59"/>
      <c r="G52" s="60"/>
      <c r="H52" s="61"/>
      <c r="I52" s="62"/>
      <c r="J52" s="58">
        <f>D52</f>
        <v>2</v>
      </c>
      <c r="K52" s="58"/>
      <c r="L52" s="58"/>
      <c r="M52" s="59"/>
      <c r="N52" s="25">
        <f t="shared" ref="N52:N60" si="7">N51+1</f>
        <v>12</v>
      </c>
    </row>
    <row r="53" spans="2:14" ht="15" thickBot="1" x14ac:dyDescent="0.25">
      <c r="B53" s="6">
        <f t="shared" si="6"/>
        <v>13</v>
      </c>
      <c r="C53" s="33" t="s">
        <v>28</v>
      </c>
      <c r="D53" s="34"/>
      <c r="E53" s="34"/>
      <c r="F53" s="37" t="s">
        <v>39</v>
      </c>
      <c r="G53" s="55">
        <v>130</v>
      </c>
      <c r="H53" s="47"/>
      <c r="I53" s="46"/>
      <c r="J53" s="34">
        <v>130</v>
      </c>
      <c r="K53" s="34"/>
      <c r="L53" s="34"/>
      <c r="M53" s="37"/>
      <c r="N53" s="23">
        <f t="shared" si="7"/>
        <v>13</v>
      </c>
    </row>
    <row r="54" spans="2:14" ht="14.25" x14ac:dyDescent="0.2">
      <c r="B54" s="7">
        <f t="shared" si="6"/>
        <v>14</v>
      </c>
      <c r="C54" s="29" t="s">
        <v>29</v>
      </c>
      <c r="D54" s="30">
        <v>378</v>
      </c>
      <c r="E54" s="30"/>
      <c r="F54" s="35"/>
      <c r="G54" s="51"/>
      <c r="H54" s="50"/>
      <c r="I54" s="53"/>
      <c r="J54" s="30">
        <f>D54</f>
        <v>378</v>
      </c>
      <c r="K54" s="30"/>
      <c r="L54" s="30"/>
      <c r="M54" s="35"/>
      <c r="N54" s="24">
        <f t="shared" si="7"/>
        <v>14</v>
      </c>
    </row>
    <row r="55" spans="2:14" ht="15" thickBot="1" x14ac:dyDescent="0.25">
      <c r="B55" s="8">
        <f t="shared" si="6"/>
        <v>15</v>
      </c>
      <c r="C55" s="31" t="s">
        <v>30</v>
      </c>
      <c r="D55" s="32"/>
      <c r="E55" s="32"/>
      <c r="F55" s="36" t="s">
        <v>38</v>
      </c>
      <c r="G55" s="52">
        <v>236</v>
      </c>
      <c r="H55" s="45"/>
      <c r="I55" s="44"/>
      <c r="J55" s="32">
        <f>G55</f>
        <v>236</v>
      </c>
      <c r="K55" s="32"/>
      <c r="L55" s="32"/>
      <c r="M55" s="36"/>
      <c r="N55" s="25">
        <f t="shared" si="7"/>
        <v>15</v>
      </c>
    </row>
    <row r="56" spans="2:14" ht="15" thickBot="1" x14ac:dyDescent="0.25">
      <c r="B56" s="6">
        <f t="shared" si="6"/>
        <v>16</v>
      </c>
      <c r="C56" s="33" t="s">
        <v>31</v>
      </c>
      <c r="D56" s="58">
        <v>1200</v>
      </c>
      <c r="E56" s="58"/>
      <c r="F56" s="59"/>
      <c r="G56" s="60"/>
      <c r="H56" s="61"/>
      <c r="I56" s="62"/>
      <c r="J56" s="58">
        <f>D56</f>
        <v>1200</v>
      </c>
      <c r="K56" s="58"/>
      <c r="L56" s="58"/>
      <c r="M56" s="59"/>
      <c r="N56" s="23">
        <f t="shared" si="7"/>
        <v>16</v>
      </c>
    </row>
    <row r="57" spans="2:14" ht="15.75" thickTop="1" thickBot="1" x14ac:dyDescent="0.25">
      <c r="B57" s="7">
        <f t="shared" si="6"/>
        <v>17</v>
      </c>
      <c r="C57" s="29"/>
      <c r="D57" s="64">
        <f>SUM(D41:D56)</f>
        <v>23762</v>
      </c>
      <c r="E57" s="64">
        <f>SUM(E41:E56)</f>
        <v>23762</v>
      </c>
      <c r="F57" s="65"/>
      <c r="G57" s="68">
        <f>SUM(G41:G56)</f>
        <v>366</v>
      </c>
      <c r="H57" s="67"/>
      <c r="I57" s="68">
        <f>SUM(I41:I56)</f>
        <v>366</v>
      </c>
      <c r="J57" s="69">
        <f>SUM(J50:J56)</f>
        <v>2856</v>
      </c>
      <c r="K57" s="69">
        <f>SUM(K50:K56)</f>
        <v>8280</v>
      </c>
      <c r="L57" s="69">
        <f>SUM(L41:L56)</f>
        <v>20906</v>
      </c>
      <c r="M57" s="70">
        <f>SUM(M45:M56)</f>
        <v>15482</v>
      </c>
      <c r="N57" s="24">
        <f t="shared" si="7"/>
        <v>17</v>
      </c>
    </row>
    <row r="58" spans="2:14" ht="16.5" thickTop="1" thickBot="1" x14ac:dyDescent="0.3">
      <c r="B58" s="8">
        <f t="shared" si="6"/>
        <v>18</v>
      </c>
      <c r="C58" s="31" t="s">
        <v>40</v>
      </c>
      <c r="D58" s="30"/>
      <c r="E58" s="30"/>
      <c r="F58" s="35"/>
      <c r="G58" s="39"/>
      <c r="H58" s="41"/>
      <c r="I58" s="39"/>
      <c r="J58" s="58">
        <f>K57-J57</f>
        <v>5424</v>
      </c>
      <c r="K58" s="58"/>
      <c r="L58" s="58"/>
      <c r="M58" s="71">
        <f>J58</f>
        <v>5424</v>
      </c>
      <c r="N58" s="25">
        <f t="shared" si="7"/>
        <v>18</v>
      </c>
    </row>
    <row r="59" spans="2:14" ht="16.5" thickTop="1" thickBot="1" x14ac:dyDescent="0.3">
      <c r="B59" s="6">
        <f t="shared" si="6"/>
        <v>19</v>
      </c>
      <c r="C59" s="33"/>
      <c r="D59" s="34"/>
      <c r="E59" s="34"/>
      <c r="F59" s="37"/>
      <c r="G59" s="38"/>
      <c r="H59" s="40"/>
      <c r="I59" s="38"/>
      <c r="J59" s="64">
        <f>J57+J58</f>
        <v>8280</v>
      </c>
      <c r="K59" s="64">
        <f>K57</f>
        <v>8280</v>
      </c>
      <c r="L59" s="64">
        <f>L57</f>
        <v>20906</v>
      </c>
      <c r="M59" s="72">
        <f>SUM(M57:M58)</f>
        <v>20906</v>
      </c>
      <c r="N59" s="23">
        <f t="shared" si="7"/>
        <v>19</v>
      </c>
    </row>
    <row r="60" spans="2:14" ht="15" x14ac:dyDescent="0.25">
      <c r="B60" s="6">
        <f t="shared" si="6"/>
        <v>20</v>
      </c>
      <c r="C60" s="29"/>
      <c r="D60" s="30"/>
      <c r="E60" s="30"/>
      <c r="F60" s="35"/>
      <c r="G60" s="39"/>
      <c r="H60" s="41"/>
      <c r="I60" s="42"/>
      <c r="J60" s="30"/>
      <c r="K60" s="30"/>
      <c r="L60" s="30"/>
      <c r="M60" s="35"/>
      <c r="N60" s="23">
        <f t="shared" si="7"/>
        <v>20</v>
      </c>
    </row>
  </sheetData>
  <mergeCells count="26">
    <mergeCell ref="J39:J40"/>
    <mergeCell ref="K39:K40"/>
    <mergeCell ref="L39:L40"/>
    <mergeCell ref="M39:M40"/>
    <mergeCell ref="C36:I36"/>
    <mergeCell ref="D38:E38"/>
    <mergeCell ref="F38:I38"/>
    <mergeCell ref="D39:D40"/>
    <mergeCell ref="E39:E40"/>
    <mergeCell ref="F39:G40"/>
    <mergeCell ref="H39:I40"/>
    <mergeCell ref="J8:J9"/>
    <mergeCell ref="K8:K9"/>
    <mergeCell ref="L8:L9"/>
    <mergeCell ref="M8:M9"/>
    <mergeCell ref="C34:I34"/>
    <mergeCell ref="D8:D9"/>
    <mergeCell ref="E8:E9"/>
    <mergeCell ref="F8:G9"/>
    <mergeCell ref="H8:I9"/>
    <mergeCell ref="C35:I35"/>
    <mergeCell ref="C3:I3"/>
    <mergeCell ref="C4:I4"/>
    <mergeCell ref="C5:I5"/>
    <mergeCell ref="D7:E7"/>
    <mergeCell ref="F7:I7"/>
  </mergeCells>
  <printOptions horizontalCentered="1"/>
  <pageMargins left="0.12" right="0.14000000000000001" top="0.5" bottom="0.5" header="0.25" footer="0.25"/>
  <pageSetup pageOrder="overThenDown" orientation="landscape" horizontalDpi="300" verticalDpi="300" r:id="rId1"/>
  <headerFooter alignWithMargins="0"/>
  <rowBreaks count="1" manualBreakCount="1">
    <brk id="31" max="16383" man="1"/>
  </rowBreaks>
  <ignoredErrors>
    <ignoredError sqref="J55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55FED648-13E8-40B8-86DD-F49926DDE22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4AC9D84-7890-4F24-A2C2-45C3058B09DC}">
  <ds:schemaRefs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dcmitype/"/>
    <ds:schemaRef ds:uri="d5bf7610-0a90-45dc-b926-1b234e6c6756"/>
    <ds:schemaRef ds:uri="http://schemas.microsoft.com/office/infopath/2007/PartnerControls"/>
    <ds:schemaRef ds:uri="http://purl.org/dc/elements/1.1/"/>
    <ds:schemaRef ds:uri="d758baea-510e-4597-bb40-a09e4fc0f415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51A8D97-7BF3-432B-A800-3367347A53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9A29938-FD60-4378-9465-14777D0A2E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work-own worksheet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 Lee</dc:creator>
  <cp:keywords/>
  <dc:description/>
  <cp:lastModifiedBy>PATIL, DHRUV</cp:lastModifiedBy>
  <cp:revision/>
  <dcterms:created xsi:type="dcterms:W3CDTF">1999-02-14T15:32:03Z</dcterms:created>
  <dcterms:modified xsi:type="dcterms:W3CDTF">2023-11-15T17:18:12Z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10200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