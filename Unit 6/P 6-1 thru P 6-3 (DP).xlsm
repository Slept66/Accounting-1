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6/"/>
    </mc:Choice>
  </mc:AlternateContent>
  <xr:revisionPtr revIDLastSave="70" documentId="8_{F59EDBE0-BE92-4D09-91CB-91D1B04FD50D}" xr6:coauthVersionLast="47" xr6:coauthVersionMax="47" xr10:uidLastSave="{9944E241-2E97-4FA9-99B2-C9AC0041E9A9}"/>
  <bookViews>
    <workbookView xWindow="-110" yWindow="-110" windowWidth="19420" windowHeight="10420" xr2:uid="{00000000-000D-0000-FFFF-FFFF00000000}"/>
  </bookViews>
  <sheets>
    <sheet name="P6-1 thru P 6-3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0" i="1" l="1"/>
  <c r="L30" i="1"/>
  <c r="M30" i="1"/>
  <c r="N30" i="1"/>
  <c r="K29" i="1"/>
  <c r="N28" i="1"/>
  <c r="K28" i="1"/>
  <c r="L21" i="1"/>
  <c r="L28" i="1" s="1"/>
  <c r="M19" i="1"/>
  <c r="N18" i="1"/>
  <c r="N17" i="1"/>
  <c r="M14" i="1"/>
  <c r="M13" i="1"/>
  <c r="M12" i="1"/>
  <c r="H28" i="1"/>
  <c r="F28" i="1"/>
  <c r="E28" i="1"/>
  <c r="J16" i="1"/>
  <c r="AJ113" i="1" s="1"/>
  <c r="J15" i="1"/>
  <c r="AJ112" i="1" s="1"/>
  <c r="AG28" i="1"/>
  <c r="AG125" i="1" s="1"/>
  <c r="AH28" i="1"/>
  <c r="AI28" i="1"/>
  <c r="AI125" i="1" s="1"/>
  <c r="AJ28" i="1"/>
  <c r="AJ125" i="1" s="1"/>
  <c r="AD120" i="1"/>
  <c r="AE120" i="1"/>
  <c r="AF120" i="1"/>
  <c r="AG120" i="1"/>
  <c r="AH120" i="1"/>
  <c r="AI120" i="1"/>
  <c r="AJ120" i="1"/>
  <c r="AL120" i="1"/>
  <c r="AM120" i="1"/>
  <c r="AN120" i="1"/>
  <c r="AN29" i="1"/>
  <c r="AN126" i="1" s="1"/>
  <c r="AN18" i="1"/>
  <c r="AN17" i="1"/>
  <c r="AM16" i="1"/>
  <c r="AM15" i="1"/>
  <c r="AM14" i="1"/>
  <c r="AM13" i="1"/>
  <c r="AM110" i="1" s="1"/>
  <c r="AM12" i="1"/>
  <c r="AM19" i="1"/>
  <c r="AL21" i="1"/>
  <c r="AK23" i="1"/>
  <c r="AK24" i="1"/>
  <c r="AK25" i="1"/>
  <c r="AK26" i="1"/>
  <c r="AK27" i="1"/>
  <c r="AK22" i="1"/>
  <c r="AK119" i="1" s="1"/>
  <c r="AF28" i="1"/>
  <c r="AE28" i="1"/>
  <c r="O23" i="1"/>
  <c r="AD108" i="1"/>
  <c r="AE108" i="1"/>
  <c r="AF108" i="1"/>
  <c r="AG108" i="1"/>
  <c r="AH108" i="1"/>
  <c r="AI108" i="1"/>
  <c r="AJ108" i="1"/>
  <c r="AK108" i="1"/>
  <c r="AL108" i="1"/>
  <c r="AM108" i="1"/>
  <c r="AN108" i="1"/>
  <c r="AD109" i="1"/>
  <c r="AE109" i="1"/>
  <c r="AF109" i="1"/>
  <c r="AG109" i="1"/>
  <c r="AH109" i="1"/>
  <c r="AI109" i="1"/>
  <c r="AJ109" i="1"/>
  <c r="AK109" i="1"/>
  <c r="AL109" i="1"/>
  <c r="AN109" i="1"/>
  <c r="AC13" i="1"/>
  <c r="AC14" i="1" s="1"/>
  <c r="C13" i="1"/>
  <c r="O13" i="1" s="1"/>
  <c r="AD110" i="1"/>
  <c r="AE110" i="1"/>
  <c r="AF110" i="1"/>
  <c r="AG110" i="1"/>
  <c r="AH110" i="1"/>
  <c r="AI110" i="1"/>
  <c r="AJ110" i="1"/>
  <c r="AK110" i="1"/>
  <c r="AL110" i="1"/>
  <c r="AN110" i="1"/>
  <c r="AD111" i="1"/>
  <c r="AE111" i="1"/>
  <c r="AF111" i="1"/>
  <c r="AG111" i="1"/>
  <c r="AH111" i="1"/>
  <c r="AI111" i="1"/>
  <c r="AJ111" i="1"/>
  <c r="AK111" i="1"/>
  <c r="AL111" i="1"/>
  <c r="AN111" i="1"/>
  <c r="AD112" i="1"/>
  <c r="AE112" i="1"/>
  <c r="AF112" i="1"/>
  <c r="AG112" i="1"/>
  <c r="AH112" i="1"/>
  <c r="AI112" i="1"/>
  <c r="AK112" i="1"/>
  <c r="AL112" i="1"/>
  <c r="AN112" i="1"/>
  <c r="AD113" i="1"/>
  <c r="AE113" i="1"/>
  <c r="AF113" i="1"/>
  <c r="AG113" i="1"/>
  <c r="AH113" i="1"/>
  <c r="AI113" i="1"/>
  <c r="AK113" i="1"/>
  <c r="AL113" i="1"/>
  <c r="AN113" i="1"/>
  <c r="AD114" i="1"/>
  <c r="AE114" i="1"/>
  <c r="AF114" i="1"/>
  <c r="AG114" i="1"/>
  <c r="AH114" i="1"/>
  <c r="AI114" i="1"/>
  <c r="AJ114" i="1"/>
  <c r="AK114" i="1"/>
  <c r="AL114" i="1"/>
  <c r="AM114" i="1"/>
  <c r="AD115" i="1"/>
  <c r="AE115" i="1"/>
  <c r="AF115" i="1"/>
  <c r="AG115" i="1"/>
  <c r="AH115" i="1"/>
  <c r="AI115" i="1"/>
  <c r="AJ115" i="1"/>
  <c r="AK115" i="1"/>
  <c r="AL115" i="1"/>
  <c r="AM115" i="1"/>
  <c r="AD116" i="1"/>
  <c r="AE116" i="1"/>
  <c r="AF116" i="1"/>
  <c r="AG116" i="1"/>
  <c r="AH116" i="1"/>
  <c r="AI116" i="1"/>
  <c r="AJ116" i="1"/>
  <c r="AK116" i="1"/>
  <c r="AL116" i="1"/>
  <c r="AN116" i="1"/>
  <c r="AD117" i="1"/>
  <c r="AE117" i="1"/>
  <c r="AF117" i="1"/>
  <c r="AG117" i="1"/>
  <c r="AH117" i="1"/>
  <c r="AI117" i="1"/>
  <c r="AJ117" i="1"/>
  <c r="AK117" i="1"/>
  <c r="AL117" i="1"/>
  <c r="AM117" i="1"/>
  <c r="AN117" i="1"/>
  <c r="AD118" i="1"/>
  <c r="AE118" i="1"/>
  <c r="AF118" i="1"/>
  <c r="AG118" i="1"/>
  <c r="AH118" i="1"/>
  <c r="AI118" i="1"/>
  <c r="AJ118" i="1"/>
  <c r="AK118" i="1"/>
  <c r="AM118" i="1"/>
  <c r="AN118" i="1"/>
  <c r="AD119" i="1"/>
  <c r="AE119" i="1"/>
  <c r="AF119" i="1"/>
  <c r="AG119" i="1"/>
  <c r="AH119" i="1"/>
  <c r="AI119" i="1"/>
  <c r="AJ119" i="1"/>
  <c r="AL119" i="1"/>
  <c r="AM119" i="1"/>
  <c r="AN119" i="1"/>
  <c r="AD121" i="1"/>
  <c r="AE121" i="1"/>
  <c r="AF121" i="1"/>
  <c r="AG121" i="1"/>
  <c r="AH121" i="1"/>
  <c r="AI121" i="1"/>
  <c r="AJ121" i="1"/>
  <c r="AL121" i="1"/>
  <c r="AM121" i="1"/>
  <c r="AN121" i="1"/>
  <c r="AD122" i="1"/>
  <c r="AE122" i="1"/>
  <c r="AF122" i="1"/>
  <c r="AG122" i="1"/>
  <c r="AH122" i="1"/>
  <c r="AI122" i="1"/>
  <c r="AJ122" i="1"/>
  <c r="AL122" i="1"/>
  <c r="AM122" i="1"/>
  <c r="AN122" i="1"/>
  <c r="AD123" i="1"/>
  <c r="AE123" i="1"/>
  <c r="AF123" i="1"/>
  <c r="AG123" i="1"/>
  <c r="AH123" i="1"/>
  <c r="AI123" i="1"/>
  <c r="AJ123" i="1"/>
  <c r="AL123" i="1"/>
  <c r="AM123" i="1"/>
  <c r="AN123" i="1"/>
  <c r="AD124" i="1"/>
  <c r="AE124" i="1"/>
  <c r="AF124" i="1"/>
  <c r="AG124" i="1"/>
  <c r="AH124" i="1"/>
  <c r="AI124" i="1"/>
  <c r="AJ124" i="1"/>
  <c r="AL124" i="1"/>
  <c r="AM124" i="1"/>
  <c r="AN124" i="1"/>
  <c r="AD125" i="1"/>
  <c r="AD126" i="1"/>
  <c r="AE126" i="1"/>
  <c r="AF126" i="1"/>
  <c r="AG126" i="1"/>
  <c r="AH126" i="1"/>
  <c r="AI126" i="1"/>
  <c r="AJ126" i="1"/>
  <c r="AK126" i="1"/>
  <c r="AL126" i="1"/>
  <c r="AM126" i="1"/>
  <c r="AD127" i="1"/>
  <c r="AE127" i="1"/>
  <c r="AF127" i="1"/>
  <c r="AG127" i="1"/>
  <c r="AH127" i="1"/>
  <c r="AI127" i="1"/>
  <c r="AJ127" i="1"/>
  <c r="AD128" i="1"/>
  <c r="AE128" i="1"/>
  <c r="AF128" i="1"/>
  <c r="AG128" i="1"/>
  <c r="AH128" i="1"/>
  <c r="AI128" i="1"/>
  <c r="AJ128" i="1"/>
  <c r="AK128" i="1"/>
  <c r="AL128" i="1"/>
  <c r="AM128" i="1"/>
  <c r="AN128" i="1"/>
  <c r="AD129" i="1"/>
  <c r="AE129" i="1"/>
  <c r="AF129" i="1"/>
  <c r="AG129" i="1"/>
  <c r="AH129" i="1"/>
  <c r="AI129" i="1"/>
  <c r="AJ129" i="1"/>
  <c r="AK129" i="1"/>
  <c r="AL129" i="1"/>
  <c r="AM129" i="1"/>
  <c r="AN129" i="1"/>
  <c r="AO12" i="1"/>
  <c r="AO13" i="1"/>
  <c r="O12" i="1"/>
  <c r="O24" i="1"/>
  <c r="O25" i="1"/>
  <c r="O26" i="1"/>
  <c r="O27" i="1"/>
  <c r="C29" i="1"/>
  <c r="C30" i="1" s="1"/>
  <c r="O28" i="1"/>
  <c r="AL118" i="1" l="1"/>
  <c r="AN114" i="1"/>
  <c r="AM109" i="1"/>
  <c r="AN115" i="1"/>
  <c r="M28" i="1"/>
  <c r="AM116" i="1"/>
  <c r="AE125" i="1"/>
  <c r="AM28" i="1"/>
  <c r="AM30" i="1" s="1"/>
  <c r="AM127" i="1" s="1"/>
  <c r="AN28" i="1"/>
  <c r="AN125" i="1" s="1"/>
  <c r="M15" i="1"/>
  <c r="AM112" i="1" s="1"/>
  <c r="M16" i="1"/>
  <c r="AM113" i="1" s="1"/>
  <c r="AK122" i="1"/>
  <c r="AK124" i="1"/>
  <c r="AK123" i="1"/>
  <c r="AK121" i="1"/>
  <c r="AF125" i="1"/>
  <c r="AK120" i="1"/>
  <c r="AH125" i="1"/>
  <c r="AC15" i="1"/>
  <c r="AO14" i="1"/>
  <c r="AK28" i="1"/>
  <c r="AK30" i="1" s="1"/>
  <c r="AK127" i="1" s="1"/>
  <c r="AL28" i="1"/>
  <c r="AL125" i="1" s="1"/>
  <c r="AC16" i="1"/>
  <c r="AO15" i="1"/>
  <c r="C31" i="1"/>
  <c r="O30" i="1"/>
  <c r="O29" i="1"/>
  <c r="C14" i="1"/>
  <c r="AM111" i="1"/>
  <c r="AL30" i="1" l="1"/>
  <c r="AL127" i="1" s="1"/>
  <c r="AN30" i="1"/>
  <c r="AN127" i="1" s="1"/>
  <c r="AM125" i="1"/>
  <c r="AK125" i="1"/>
  <c r="AC1" i="1" s="1"/>
  <c r="A3" i="1" s="1"/>
  <c r="AO16" i="1"/>
  <c r="AC17" i="1"/>
  <c r="C15" i="1"/>
  <c r="O14" i="1"/>
  <c r="O31" i="1"/>
  <c r="C32" i="1"/>
  <c r="O32" i="1" s="1"/>
  <c r="AC18" i="1" l="1"/>
  <c r="AO17" i="1"/>
  <c r="C16" i="1"/>
  <c r="O15" i="1"/>
  <c r="AO18" i="1" l="1"/>
  <c r="AC19" i="1"/>
  <c r="O16" i="1"/>
  <c r="C17" i="1"/>
  <c r="AC20" i="1" l="1"/>
  <c r="AO19" i="1"/>
  <c r="O17" i="1"/>
  <c r="C18" i="1"/>
  <c r="C19" i="1" l="1"/>
  <c r="O18" i="1"/>
  <c r="AO20" i="1"/>
  <c r="AC21" i="1"/>
  <c r="AO21" i="1" l="1"/>
  <c r="AC22" i="1"/>
  <c r="C20" i="1"/>
  <c r="O19" i="1"/>
  <c r="O20" i="1" l="1"/>
  <c r="C21" i="1"/>
  <c r="AC23" i="1"/>
  <c r="AO23" i="1" s="1"/>
  <c r="AC24" i="1"/>
  <c r="AO22" i="1"/>
  <c r="AC25" i="1" l="1"/>
  <c r="AO24" i="1"/>
  <c r="C22" i="1"/>
  <c r="O22" i="1" s="1"/>
  <c r="O21" i="1"/>
  <c r="AO25" i="1" l="1"/>
  <c r="AC26" i="1"/>
  <c r="AO26" i="1" l="1"/>
  <c r="AC27" i="1"/>
  <c r="AO27" i="1" l="1"/>
  <c r="AC28" i="1"/>
  <c r="AC29" i="1" l="1"/>
  <c r="AO28" i="1"/>
  <c r="AC30" i="1" l="1"/>
  <c r="AO29" i="1"/>
  <c r="AO30" i="1" l="1"/>
  <c r="AC31" i="1"/>
  <c r="AC32" i="1" l="1"/>
  <c r="AO32" i="1" s="1"/>
  <c r="AO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G12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Enter adjustment letters surrounded by parentheses; e.g. (a).
</t>
        </r>
      </text>
    </comment>
    <comment ref="K12" authorId="0" shapeId="0" xr:uid="{00000000-0006-0000-0000-000002000000}">
      <text>
        <r>
          <rPr>
            <sz val="8"/>
            <color indexed="81"/>
            <rFont val="Tahoma"/>
            <family val="2"/>
          </rPr>
          <t>Consider using formulas to calculate amounts in both income statement and balance sheet columns.</t>
        </r>
      </text>
    </comment>
    <comment ref="AG12" authorId="0" shapeId="0" xr:uid="{00000000-0006-0000-0000-000003000000}">
      <text>
        <r>
          <rPr>
            <sz val="8"/>
            <color indexed="81"/>
            <rFont val="Tahoma"/>
            <family val="2"/>
          </rPr>
          <t xml:space="preserve">Enter adjustment letters surrounded by parentheses; e.g. (a).
</t>
        </r>
      </text>
    </comment>
    <comment ref="AK12" authorId="0" shapeId="0" xr:uid="{00000000-0006-0000-0000-000004000000}">
      <text>
        <r>
          <rPr>
            <sz val="8"/>
            <color indexed="81"/>
            <rFont val="Tahoma"/>
            <family val="2"/>
          </rPr>
          <t>Consider using formulas to calculate amounts in both income statement and balance sheet columns.</t>
        </r>
      </text>
    </comment>
    <comment ref="AH28" authorId="0" shapeId="0" xr:uid="{00000000-0006-0000-0000-000005000000}">
      <text>
        <r>
          <rPr>
            <sz val="8"/>
            <color indexed="81"/>
            <rFont val="Tahoma"/>
            <family val="2"/>
          </rPr>
          <t>Consider using SUM functions to calculate column totals.</t>
        </r>
      </text>
    </comment>
  </commentList>
</comments>
</file>

<file path=xl/sharedStrings.xml><?xml version="1.0" encoding="utf-8"?>
<sst xmlns="http://schemas.openxmlformats.org/spreadsheetml/2006/main" count="78" uniqueCount="33">
  <si>
    <t>Work Sheet</t>
  </si>
  <si>
    <t>Account Title</t>
  </si>
  <si>
    <t>Trial Balance</t>
  </si>
  <si>
    <t>Adjustments</t>
  </si>
  <si>
    <t>Income Statement</t>
  </si>
  <si>
    <t>Balance Sheet</t>
  </si>
  <si>
    <t>Debit</t>
  </si>
  <si>
    <t>Credit</t>
  </si>
  <si>
    <t>Cash</t>
  </si>
  <si>
    <t>Petty Cash</t>
  </si>
  <si>
    <t>(a)</t>
  </si>
  <si>
    <t>(b)</t>
  </si>
  <si>
    <t>Prepaid Insurance</t>
  </si>
  <si>
    <t>Income Summary</t>
  </si>
  <si>
    <t>Sales</t>
  </si>
  <si>
    <t>Advertising Expense</t>
  </si>
  <si>
    <t>Insurance Expense</t>
  </si>
  <si>
    <t>Miscellaneous Expense</t>
  </si>
  <si>
    <t>Utilities Expense</t>
  </si>
  <si>
    <t>For Month Ended June 30, 20--</t>
  </si>
  <si>
    <t>Supplies Expense</t>
  </si>
  <si>
    <t>Supplies</t>
  </si>
  <si>
    <t>Net Income</t>
  </si>
  <si>
    <t>APPLICATION PROBLEMS 6-1, 6-2, 6-3</t>
  </si>
  <si>
    <t>Note: This spreadsheet can be used to complete Application Problems 6-1, 6-2, and 6-3.</t>
  </si>
  <si>
    <t xml:space="preserve">Student's Name: </t>
  </si>
  <si>
    <t>Rosemount Rental</t>
  </si>
  <si>
    <t>Accts. Rec.--Raymond O'Neil</t>
  </si>
  <si>
    <t>Accts. Pay.--Western Supply</t>
  </si>
  <si>
    <t>Akbar Sharma, Capital</t>
  </si>
  <si>
    <t>Akbar Sharma, Drawing</t>
  </si>
  <si>
    <t>Cash Short and Over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</si>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</sst>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7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6"/>
      <name val="Arial"/>
      <family val="2"/>
    </font>
    <font>
      <sz val="10"/>
      <name val="Arial"/>
      <family val="2"/>
    </font>
    <font>
      <sz val="6"/>
      <color indexed="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  <font>
      <sz val="7"/>
      <color indexed="17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9"/>
      <color indexed="17"/>
      <name val="Arial"/>
      <family val="2"/>
    </font>
    <font>
      <sz val="9"/>
      <color indexed="8"/>
      <name val="Arial"/>
      <family val="2"/>
    </font>
    <font>
      <sz val="10"/>
      <color indexed="17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9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1" fillId="0" borderId="0" xfId="0" applyFont="1"/>
    <xf numFmtId="0" fontId="10" fillId="0" borderId="0" xfId="0" applyFont="1" applyProtection="1">
      <protection hidden="1"/>
    </xf>
    <xf numFmtId="0" fontId="11" fillId="0" borderId="0" xfId="0" applyFont="1"/>
    <xf numFmtId="0" fontId="0" fillId="0" borderId="0" xfId="0" applyProtection="1">
      <protection hidden="1"/>
    </xf>
    <xf numFmtId="43" fontId="0" fillId="0" borderId="0" xfId="0" applyNumberFormat="1" applyProtection="1"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6" fillId="0" borderId="3" xfId="0" applyFont="1" applyBorder="1" applyProtection="1">
      <protection hidden="1"/>
    </xf>
    <xf numFmtId="0" fontId="6" fillId="0" borderId="0" xfId="0" applyFont="1" applyProtection="1">
      <protection hidden="1"/>
    </xf>
    <xf numFmtId="0" fontId="6" fillId="0" borderId="4" xfId="0" applyFont="1" applyBorder="1" applyProtection="1">
      <protection hidden="1"/>
    </xf>
    <xf numFmtId="0" fontId="7" fillId="0" borderId="5" xfId="0" applyFont="1" applyBorder="1" applyAlignment="1" applyProtection="1">
      <alignment horizontal="center"/>
      <protection hidden="1"/>
    </xf>
    <xf numFmtId="0" fontId="7" fillId="0" borderId="6" xfId="0" applyFont="1" applyBorder="1" applyAlignment="1" applyProtection="1">
      <alignment horizontal="center"/>
      <protection hidden="1"/>
    </xf>
    <xf numFmtId="0" fontId="7" fillId="0" borderId="4" xfId="0" applyFont="1" applyBorder="1" applyAlignment="1" applyProtection="1">
      <alignment horizontal="center"/>
      <protection hidden="1"/>
    </xf>
    <xf numFmtId="0" fontId="8" fillId="0" borderId="7" xfId="0" applyFont="1" applyBorder="1" applyProtection="1">
      <protection hidden="1"/>
    </xf>
    <xf numFmtId="4" fontId="8" fillId="0" borderId="7" xfId="0" applyNumberFormat="1" applyFont="1" applyBorder="1" applyAlignment="1" applyProtection="1">
      <alignment horizontal="left"/>
      <protection hidden="1"/>
    </xf>
    <xf numFmtId="4" fontId="9" fillId="0" borderId="7" xfId="0" applyNumberFormat="1" applyFont="1" applyBorder="1" applyAlignment="1" applyProtection="1">
      <alignment horizontal="right"/>
      <protection hidden="1"/>
    </xf>
    <xf numFmtId="4" fontId="8" fillId="0" borderId="8" xfId="0" applyNumberFormat="1" applyFont="1" applyBorder="1" applyAlignment="1" applyProtection="1">
      <alignment horizontal="right"/>
      <protection hidden="1"/>
    </xf>
    <xf numFmtId="4" fontId="9" fillId="0" borderId="9" xfId="0" applyNumberFormat="1" applyFont="1" applyBorder="1" applyAlignment="1" applyProtection="1">
      <alignment horizontal="right"/>
      <protection hidden="1"/>
    </xf>
    <xf numFmtId="4" fontId="0" fillId="0" borderId="0" xfId="0" applyNumberFormat="1" applyProtection="1">
      <protection hidden="1"/>
    </xf>
    <xf numFmtId="0" fontId="5" fillId="0" borderId="9" xfId="0" applyFont="1" applyBorder="1" applyProtection="1">
      <protection hidden="1"/>
    </xf>
    <xf numFmtId="4" fontId="8" fillId="0" borderId="7" xfId="0" applyNumberFormat="1" applyFont="1" applyBorder="1" applyAlignment="1" applyProtection="1">
      <alignment horizontal="right"/>
      <protection hidden="1"/>
    </xf>
    <xf numFmtId="4" fontId="13" fillId="0" borderId="9" xfId="0" applyNumberFormat="1" applyFont="1" applyBorder="1" applyAlignment="1" applyProtection="1">
      <alignment horizontal="right"/>
      <protection hidden="1"/>
    </xf>
    <xf numFmtId="4" fontId="13" fillId="0" borderId="7" xfId="0" applyNumberFormat="1" applyFont="1" applyBorder="1" applyAlignment="1" applyProtection="1">
      <alignment horizontal="right"/>
      <protection hidden="1"/>
    </xf>
    <xf numFmtId="4" fontId="0" fillId="0" borderId="10" xfId="0" applyNumberFormat="1" applyBorder="1" applyProtection="1">
      <protection hidden="1"/>
    </xf>
    <xf numFmtId="0" fontId="7" fillId="0" borderId="8" xfId="0" applyFont="1" applyBorder="1" applyProtection="1">
      <protection hidden="1"/>
    </xf>
    <xf numFmtId="4" fontId="8" fillId="0" borderId="9" xfId="0" applyNumberFormat="1" applyFont="1" applyBorder="1" applyAlignment="1" applyProtection="1">
      <alignment horizontal="right"/>
      <protection hidden="1"/>
    </xf>
    <xf numFmtId="4" fontId="8" fillId="0" borderId="11" xfId="0" applyNumberFormat="1" applyFont="1" applyBorder="1" applyAlignment="1" applyProtection="1">
      <alignment horizontal="right"/>
      <protection hidden="1"/>
    </xf>
    <xf numFmtId="43" fontId="2" fillId="0" borderId="0" xfId="1" applyFont="1" applyProtection="1">
      <protection hidden="1"/>
    </xf>
    <xf numFmtId="0" fontId="10" fillId="0" borderId="0" xfId="0" applyFont="1" applyAlignment="1">
      <alignment horizontal="right"/>
    </xf>
    <xf numFmtId="0" fontId="10" fillId="0" borderId="0" xfId="0" applyFont="1"/>
    <xf numFmtId="4" fontId="14" fillId="2" borderId="7" xfId="0" applyNumberFormat="1" applyFont="1" applyFill="1" applyBorder="1" applyAlignment="1">
      <alignment horizontal="left"/>
    </xf>
    <xf numFmtId="4" fontId="13" fillId="2" borderId="7" xfId="0" applyNumberFormat="1" applyFont="1" applyFill="1" applyBorder="1" applyAlignment="1" applyProtection="1">
      <alignment horizontal="right"/>
      <protection locked="0"/>
    </xf>
    <xf numFmtId="4" fontId="13" fillId="2" borderId="12" xfId="0" applyNumberFormat="1" applyFont="1" applyFill="1" applyBorder="1" applyAlignment="1" applyProtection="1">
      <alignment horizontal="right"/>
      <protection locked="0"/>
    </xf>
    <xf numFmtId="4" fontId="13" fillId="2" borderId="13" xfId="0" applyNumberFormat="1" applyFont="1" applyFill="1" applyBorder="1" applyAlignment="1" applyProtection="1">
      <alignment horizontal="right"/>
      <protection locked="0"/>
    </xf>
    <xf numFmtId="4" fontId="13" fillId="2" borderId="14" xfId="0" applyNumberFormat="1" applyFont="1" applyFill="1" applyBorder="1" applyAlignment="1" applyProtection="1">
      <alignment horizontal="right"/>
      <protection locked="0"/>
    </xf>
    <xf numFmtId="4" fontId="13" fillId="2" borderId="15" xfId="0" applyNumberFormat="1" applyFont="1" applyFill="1" applyBorder="1" applyAlignment="1" applyProtection="1">
      <alignment horizontal="right"/>
      <protection locked="0"/>
    </xf>
    <xf numFmtId="4" fontId="13" fillId="2" borderId="16" xfId="0" applyNumberFormat="1" applyFont="1" applyFill="1" applyBorder="1" applyAlignment="1" applyProtection="1">
      <alignment horizontal="right"/>
      <protection locked="0"/>
    </xf>
    <xf numFmtId="4" fontId="13" fillId="2" borderId="17" xfId="0" applyNumberFormat="1" applyFont="1" applyFill="1" applyBorder="1" applyAlignment="1" applyProtection="1">
      <alignment horizontal="right"/>
      <protection locked="0"/>
    </xf>
    <xf numFmtId="4" fontId="13" fillId="2" borderId="7" xfId="0" applyNumberFormat="1" applyFont="1" applyFill="1" applyBorder="1" applyAlignment="1" applyProtection="1">
      <alignment horizontal="left"/>
      <protection locked="0"/>
    </xf>
    <xf numFmtId="4" fontId="13" fillId="2" borderId="4" xfId="0" applyNumberFormat="1" applyFont="1" applyFill="1" applyBorder="1" applyAlignment="1">
      <alignment horizontal="right"/>
    </xf>
    <xf numFmtId="4" fontId="13" fillId="2" borderId="18" xfId="0" applyNumberFormat="1" applyFont="1" applyFill="1" applyBorder="1" applyAlignment="1">
      <alignment horizontal="right"/>
    </xf>
    <xf numFmtId="4" fontId="13" fillId="2" borderId="7" xfId="0" applyNumberFormat="1" applyFont="1" applyFill="1" applyBorder="1" applyAlignment="1">
      <alignment horizontal="right"/>
    </xf>
    <xf numFmtId="4" fontId="13" fillId="2" borderId="12" xfId="0" applyNumberFormat="1" applyFont="1" applyFill="1" applyBorder="1" applyAlignment="1">
      <alignment horizontal="right"/>
    </xf>
    <xf numFmtId="4" fontId="8" fillId="2" borderId="7" xfId="0" applyNumberFormat="1" applyFont="1" applyFill="1" applyBorder="1" applyAlignment="1">
      <alignment horizontal="right"/>
    </xf>
    <xf numFmtId="4" fontId="8" fillId="2" borderId="8" xfId="0" applyNumberFormat="1" applyFont="1" applyFill="1" applyBorder="1" applyAlignment="1">
      <alignment horizontal="right"/>
    </xf>
    <xf numFmtId="4" fontId="9" fillId="2" borderId="7" xfId="0" applyNumberFormat="1" applyFont="1" applyFill="1" applyBorder="1" applyAlignment="1" applyProtection="1">
      <alignment horizontal="right"/>
      <protection locked="0"/>
    </xf>
    <xf numFmtId="4" fontId="9" fillId="2" borderId="4" xfId="0" applyNumberFormat="1" applyFont="1" applyFill="1" applyBorder="1" applyAlignment="1" applyProtection="1">
      <alignment horizontal="right"/>
      <protection locked="0"/>
    </xf>
    <xf numFmtId="4" fontId="13" fillId="2" borderId="19" xfId="0" applyNumberFormat="1" applyFont="1" applyFill="1" applyBorder="1" applyAlignment="1" applyProtection="1">
      <alignment horizontal="right"/>
      <protection locked="0"/>
    </xf>
    <xf numFmtId="4" fontId="13" fillId="2" borderId="20" xfId="0" applyNumberFormat="1" applyFont="1" applyFill="1" applyBorder="1" applyAlignment="1" applyProtection="1">
      <alignment horizontal="right"/>
      <protection locked="0"/>
    </xf>
    <xf numFmtId="4" fontId="13" fillId="2" borderId="21" xfId="0" applyNumberFormat="1" applyFont="1" applyFill="1" applyBorder="1" applyAlignment="1" applyProtection="1">
      <alignment horizontal="right"/>
      <protection locked="0"/>
    </xf>
    <xf numFmtId="0" fontId="10" fillId="3" borderId="22" xfId="0" applyFont="1" applyFill="1" applyBorder="1" applyProtection="1">
      <protection hidden="1"/>
    </xf>
    <xf numFmtId="0" fontId="11" fillId="3" borderId="1" xfId="0" applyFont="1" applyFill="1" applyBorder="1"/>
    <xf numFmtId="0" fontId="0" fillId="3" borderId="1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3" fillId="3" borderId="2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6" fillId="3" borderId="3" xfId="0" applyFont="1" applyFill="1" applyBorder="1"/>
    <xf numFmtId="0" fontId="6" fillId="3" borderId="0" xfId="0" applyFont="1" applyFill="1"/>
    <xf numFmtId="0" fontId="6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4" fillId="3" borderId="25" xfId="0" applyFont="1" applyFill="1" applyBorder="1"/>
    <xf numFmtId="0" fontId="5" fillId="3" borderId="7" xfId="0" applyFont="1" applyFill="1" applyBorder="1" applyAlignment="1">
      <alignment horizontal="center"/>
    </xf>
    <xf numFmtId="4" fontId="14" fillId="3" borderId="7" xfId="0" applyNumberFormat="1" applyFont="1" applyFill="1" applyBorder="1" applyAlignment="1">
      <alignment horizontal="left"/>
    </xf>
    <xf numFmtId="0" fontId="0" fillId="3" borderId="10" xfId="0" applyFill="1" applyBorder="1"/>
    <xf numFmtId="0" fontId="0" fillId="3" borderId="26" xfId="0" applyFill="1" applyBorder="1"/>
    <xf numFmtId="0" fontId="7" fillId="3" borderId="8" xfId="0" applyFont="1" applyFill="1" applyBorder="1"/>
    <xf numFmtId="0" fontId="4" fillId="3" borderId="10" xfId="0" applyFont="1" applyFill="1" applyBorder="1"/>
    <xf numFmtId="0" fontId="0" fillId="3" borderId="10" xfId="0" applyFill="1" applyBorder="1" applyAlignment="1">
      <alignment horizontal="center"/>
    </xf>
    <xf numFmtId="0" fontId="0" fillId="3" borderId="27" xfId="0" applyFill="1" applyBorder="1"/>
    <xf numFmtId="0" fontId="5" fillId="3" borderId="9" xfId="0" applyFont="1" applyFill="1" applyBorder="1" applyAlignment="1">
      <alignment horizontal="center"/>
    </xf>
    <xf numFmtId="0" fontId="7" fillId="0" borderId="29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alignment horizontal="center"/>
      <protection hidden="1"/>
    </xf>
    <xf numFmtId="0" fontId="4" fillId="3" borderId="10" xfId="0" applyFont="1" applyFill="1" applyBorder="1" applyAlignment="1" applyProtection="1">
      <alignment horizontal="center"/>
      <protection hidden="1"/>
    </xf>
    <xf numFmtId="0" fontId="7" fillId="0" borderId="28" xfId="0" applyFont="1" applyBorder="1" applyAlignment="1" applyProtection="1">
      <alignment horizontal="center" vertical="center"/>
      <protection hidden="1"/>
    </xf>
    <xf numFmtId="0" fontId="7" fillId="0" borderId="5" xfId="0" applyFont="1" applyBorder="1" applyAlignment="1" applyProtection="1">
      <alignment horizontal="center" vertical="center"/>
      <protection hidden="1"/>
    </xf>
    <xf numFmtId="0" fontId="14" fillId="3" borderId="9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5" fillId="0" borderId="0" xfId="0" applyFont="1" applyAlignment="1" applyProtection="1">
      <alignment horizontal="center"/>
      <protection hidden="1"/>
    </xf>
    <xf numFmtId="0" fontId="15" fillId="0" borderId="10" xfId="0" applyFont="1" applyBorder="1" applyAlignment="1" applyProtection="1">
      <alignment horizontal="center"/>
      <protection hidden="1"/>
    </xf>
    <xf numFmtId="0" fontId="7" fillId="0" borderId="9" xfId="0" applyFont="1" applyBorder="1" applyAlignment="1" applyProtection="1">
      <alignment horizontal="center"/>
      <protection hidden="1"/>
    </xf>
    <xf numFmtId="0" fontId="7" fillId="0" borderId="7" xfId="0" applyFont="1" applyBorder="1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center"/>
      <protection hidden="1"/>
    </xf>
    <xf numFmtId="0" fontId="7" fillId="0" borderId="31" xfId="0" applyFont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left"/>
      <protection locked="0"/>
    </xf>
    <xf numFmtId="0" fontId="14" fillId="3" borderId="28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P131"/>
  <sheetViews>
    <sheetView showGridLines="0" showZeros="0" tabSelected="1" topLeftCell="A18" workbookViewId="0">
      <selection activeCell="K30" sqref="K30"/>
    </sheetView>
  </sheetViews>
  <sheetFormatPr defaultRowHeight="12.5" x14ac:dyDescent="0.25"/>
  <cols>
    <col min="1" max="2" width="1.54296875" customWidth="1"/>
    <col min="3" max="3" width="3" customWidth="1"/>
    <col min="4" max="4" width="27" customWidth="1"/>
    <col min="5" max="6" width="9.54296875" customWidth="1"/>
    <col min="7" max="7" width="3.81640625" customWidth="1"/>
    <col min="8" max="8" width="9.54296875" customWidth="1"/>
    <col min="9" max="9" width="3.81640625" customWidth="1"/>
    <col min="10" max="14" width="9.54296875" customWidth="1"/>
    <col min="15" max="15" width="3" customWidth="1"/>
    <col min="16" max="16" width="1.54296875" customWidth="1"/>
    <col min="27" max="29" width="9.1796875" style="6" hidden="1" customWidth="1"/>
    <col min="30" max="30" width="20" style="6" hidden="1" customWidth="1"/>
    <col min="31" max="41" width="9.1796875" style="6" hidden="1" customWidth="1"/>
    <col min="42" max="42" width="9.1796875" style="6"/>
  </cols>
  <sheetData>
    <row r="1" spans="1:42" ht="12.75" customHeight="1" x14ac:dyDescent="0.3">
      <c r="A1" s="33" t="s">
        <v>23</v>
      </c>
      <c r="B1" s="33"/>
      <c r="C1" s="3"/>
      <c r="D1" s="3"/>
      <c r="E1" s="3"/>
      <c r="F1" s="3"/>
      <c r="G1" s="3"/>
      <c r="H1" s="3"/>
      <c r="I1" s="3"/>
      <c r="J1" s="32" t="s">
        <v>25</v>
      </c>
      <c r="K1" s="93" t="s">
        <v>32</v>
      </c>
      <c r="L1" s="93"/>
      <c r="M1" s="93"/>
      <c r="N1" s="93"/>
      <c r="O1" s="93"/>
      <c r="AC1" s="7">
        <f>SUM(AC103:AN174)</f>
        <v>0</v>
      </c>
    </row>
    <row r="2" spans="1:42" ht="12.7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42" ht="12.75" customHeight="1" x14ac:dyDescent="0.3">
      <c r="A3" s="4" t="str">
        <f>IF(SUM(AC1)=0,"You have successfully completed this problem.","You have "&amp;AC1&amp; " item(s) remaining to answer correctly.")</f>
        <v>You have successfully completed this problem.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42" ht="12.75" customHeight="1" x14ac:dyDescent="0.3">
      <c r="A4" s="4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42" ht="12.75" customHeight="1" x14ac:dyDescent="0.3">
      <c r="A5" s="4"/>
      <c r="B5" s="54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6"/>
      <c r="O5" s="56"/>
      <c r="P5" s="57"/>
    </row>
    <row r="6" spans="1:42" ht="11.25" customHeight="1" x14ac:dyDescent="0.25">
      <c r="B6" s="58"/>
      <c r="C6" s="91" t="s">
        <v>26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59"/>
      <c r="AC6" s="87" t="s">
        <v>26</v>
      </c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</row>
    <row r="7" spans="1:42" ht="11.25" customHeight="1" x14ac:dyDescent="0.25">
      <c r="B7" s="58"/>
      <c r="C7" s="91" t="s">
        <v>0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59"/>
      <c r="AC7" s="87" t="s">
        <v>0</v>
      </c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</row>
    <row r="8" spans="1:42" ht="11.25" customHeight="1" x14ac:dyDescent="0.25">
      <c r="B8" s="58"/>
      <c r="C8" s="82" t="s">
        <v>19</v>
      </c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59"/>
      <c r="AC8" s="88" t="s">
        <v>19</v>
      </c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</row>
    <row r="9" spans="1:42" s="1" customFormat="1" ht="8.25" customHeight="1" thickBot="1" x14ac:dyDescent="0.3">
      <c r="B9" s="60"/>
      <c r="C9" s="61"/>
      <c r="D9" s="61"/>
      <c r="E9" s="61">
        <v>1</v>
      </c>
      <c r="F9" s="61">
        <v>2</v>
      </c>
      <c r="G9" s="62"/>
      <c r="H9" s="62">
        <v>3</v>
      </c>
      <c r="I9" s="62"/>
      <c r="J9" s="62">
        <v>4</v>
      </c>
      <c r="K9" s="62">
        <v>5</v>
      </c>
      <c r="L9" s="62">
        <v>6</v>
      </c>
      <c r="M9" s="62">
        <v>7</v>
      </c>
      <c r="N9" s="62">
        <v>8</v>
      </c>
      <c r="O9" s="62"/>
      <c r="P9" s="63"/>
      <c r="AA9" s="8"/>
      <c r="AB9" s="8"/>
      <c r="AC9" s="9"/>
      <c r="AD9" s="9"/>
      <c r="AE9" s="9">
        <v>1</v>
      </c>
      <c r="AF9" s="9">
        <v>2</v>
      </c>
      <c r="AG9" s="10"/>
      <c r="AH9" s="10">
        <v>3</v>
      </c>
      <c r="AI9" s="10"/>
      <c r="AJ9" s="10">
        <v>4</v>
      </c>
      <c r="AK9" s="10">
        <v>5</v>
      </c>
      <c r="AL9" s="10">
        <v>6</v>
      </c>
      <c r="AM9" s="10">
        <v>7</v>
      </c>
      <c r="AN9" s="10">
        <v>8</v>
      </c>
      <c r="AO9" s="10"/>
      <c r="AP9" s="8"/>
    </row>
    <row r="10" spans="1:42" ht="13" thickTop="1" x14ac:dyDescent="0.25">
      <c r="B10" s="58"/>
      <c r="C10" s="64"/>
      <c r="D10" s="94" t="s">
        <v>1</v>
      </c>
      <c r="E10" s="96" t="s">
        <v>2</v>
      </c>
      <c r="F10" s="97"/>
      <c r="G10" s="98" t="s">
        <v>3</v>
      </c>
      <c r="H10" s="98"/>
      <c r="I10" s="98"/>
      <c r="J10" s="97"/>
      <c r="K10" s="96" t="s">
        <v>4</v>
      </c>
      <c r="L10" s="97"/>
      <c r="M10" s="96" t="s">
        <v>5</v>
      </c>
      <c r="N10" s="97"/>
      <c r="O10" s="65"/>
      <c r="P10" s="59"/>
      <c r="AC10" s="11"/>
      <c r="AD10" s="83" t="s">
        <v>1</v>
      </c>
      <c r="AE10" s="80" t="s">
        <v>2</v>
      </c>
      <c r="AF10" s="81"/>
      <c r="AG10" s="80" t="s">
        <v>3</v>
      </c>
      <c r="AH10" s="92"/>
      <c r="AI10" s="92"/>
      <c r="AJ10" s="81"/>
      <c r="AK10" s="80" t="s">
        <v>4</v>
      </c>
      <c r="AL10" s="81"/>
      <c r="AM10" s="80" t="s">
        <v>5</v>
      </c>
      <c r="AN10" s="81"/>
      <c r="AO10" s="12"/>
    </row>
    <row r="11" spans="1:42" x14ac:dyDescent="0.25">
      <c r="B11" s="58"/>
      <c r="C11" s="66"/>
      <c r="D11" s="95"/>
      <c r="E11" s="67" t="s">
        <v>6</v>
      </c>
      <c r="F11" s="67" t="s">
        <v>7</v>
      </c>
      <c r="G11" s="85" t="s">
        <v>6</v>
      </c>
      <c r="H11" s="86"/>
      <c r="I11" s="85" t="s">
        <v>7</v>
      </c>
      <c r="J11" s="86"/>
      <c r="K11" s="68" t="s">
        <v>6</v>
      </c>
      <c r="L11" s="67" t="s">
        <v>7</v>
      </c>
      <c r="M11" s="67" t="s">
        <v>6</v>
      </c>
      <c r="N11" s="69" t="s">
        <v>7</v>
      </c>
      <c r="O11" s="65"/>
      <c r="P11" s="70"/>
      <c r="AC11" s="13"/>
      <c r="AD11" s="84"/>
      <c r="AE11" s="14" t="s">
        <v>6</v>
      </c>
      <c r="AF11" s="14" t="s">
        <v>7</v>
      </c>
      <c r="AG11" s="89" t="s">
        <v>6</v>
      </c>
      <c r="AH11" s="90"/>
      <c r="AI11" s="89" t="s">
        <v>7</v>
      </c>
      <c r="AJ11" s="90"/>
      <c r="AK11" s="15" t="s">
        <v>6</v>
      </c>
      <c r="AL11" s="14" t="s">
        <v>7</v>
      </c>
      <c r="AM11" s="14" t="s">
        <v>6</v>
      </c>
      <c r="AN11" s="16" t="s">
        <v>7</v>
      </c>
      <c r="AO11" s="12"/>
    </row>
    <row r="12" spans="1:42" x14ac:dyDescent="0.25">
      <c r="B12" s="58"/>
      <c r="C12" s="71">
        <v>1</v>
      </c>
      <c r="D12" s="72" t="s">
        <v>8</v>
      </c>
      <c r="E12" s="35">
        <v>8715</v>
      </c>
      <c r="F12" s="35"/>
      <c r="G12" s="36"/>
      <c r="H12" s="35"/>
      <c r="I12" s="36"/>
      <c r="J12" s="35"/>
      <c r="K12" s="35"/>
      <c r="L12" s="35"/>
      <c r="M12" s="35">
        <f>E12</f>
        <v>8715</v>
      </c>
      <c r="N12" s="35"/>
      <c r="O12" s="79">
        <f t="shared" ref="O12:O32" si="0">+C12</f>
        <v>1</v>
      </c>
      <c r="P12" s="70"/>
      <c r="AC12" s="17">
        <v>1</v>
      </c>
      <c r="AD12" s="18" t="s">
        <v>8</v>
      </c>
      <c r="AE12" s="19">
        <v>8715</v>
      </c>
      <c r="AF12" s="20"/>
      <c r="AG12" s="21"/>
      <c r="AH12" s="19"/>
      <c r="AI12" s="21"/>
      <c r="AJ12" s="19"/>
      <c r="AK12" s="22"/>
      <c r="AL12" s="22"/>
      <c r="AM12" s="22">
        <f>+AE12</f>
        <v>8715</v>
      </c>
      <c r="AN12" s="22"/>
      <c r="AO12" s="23">
        <f t="shared" ref="AO12:AO32" si="1">+AC12</f>
        <v>1</v>
      </c>
    </row>
    <row r="13" spans="1:42" x14ac:dyDescent="0.25">
      <c r="B13" s="58"/>
      <c r="C13" s="71">
        <f t="shared" ref="C13:C32" si="2">+C12+1</f>
        <v>2</v>
      </c>
      <c r="D13" s="72" t="s">
        <v>9</v>
      </c>
      <c r="E13" s="35">
        <v>75</v>
      </c>
      <c r="F13" s="35"/>
      <c r="G13" s="36"/>
      <c r="H13" s="35"/>
      <c r="I13" s="36"/>
      <c r="J13" s="35"/>
      <c r="K13" s="35"/>
      <c r="L13" s="35"/>
      <c r="M13" s="35">
        <f>E13</f>
        <v>75</v>
      </c>
      <c r="N13" s="35"/>
      <c r="O13" s="79">
        <f t="shared" si="0"/>
        <v>2</v>
      </c>
      <c r="P13" s="70"/>
      <c r="AC13" s="17">
        <f t="shared" ref="AC13:AC32" si="3">+AC12+1</f>
        <v>2</v>
      </c>
      <c r="AD13" s="18" t="s">
        <v>9</v>
      </c>
      <c r="AE13" s="24">
        <v>75</v>
      </c>
      <c r="AF13" s="20"/>
      <c r="AG13" s="21"/>
      <c r="AH13" s="19"/>
      <c r="AI13" s="21"/>
      <c r="AJ13" s="19"/>
      <c r="AK13" s="22"/>
      <c r="AL13" s="22"/>
      <c r="AM13" s="22">
        <f>+AE13</f>
        <v>75</v>
      </c>
      <c r="AN13" s="22"/>
      <c r="AO13" s="23">
        <f t="shared" si="1"/>
        <v>2</v>
      </c>
    </row>
    <row r="14" spans="1:42" x14ac:dyDescent="0.25">
      <c r="B14" s="58"/>
      <c r="C14" s="71">
        <f t="shared" si="2"/>
        <v>3</v>
      </c>
      <c r="D14" s="72" t="s">
        <v>27</v>
      </c>
      <c r="E14" s="35">
        <v>642</v>
      </c>
      <c r="F14" s="35"/>
      <c r="G14" s="36"/>
      <c r="H14" s="35"/>
      <c r="I14" s="36"/>
      <c r="J14" s="35"/>
      <c r="K14" s="35"/>
      <c r="L14" s="35"/>
      <c r="M14" s="35">
        <f>E14</f>
        <v>642</v>
      </c>
      <c r="N14" s="35"/>
      <c r="O14" s="79">
        <f t="shared" si="0"/>
        <v>3</v>
      </c>
      <c r="P14" s="70"/>
      <c r="AC14" s="17">
        <f t="shared" si="3"/>
        <v>3</v>
      </c>
      <c r="AD14" s="34" t="s">
        <v>27</v>
      </c>
      <c r="AE14" s="24">
        <v>642</v>
      </c>
      <c r="AF14" s="20"/>
      <c r="AG14" s="21"/>
      <c r="AH14" s="19"/>
      <c r="AI14" s="21"/>
      <c r="AJ14" s="19"/>
      <c r="AK14" s="22"/>
      <c r="AL14" s="22"/>
      <c r="AM14" s="22">
        <f>+AE14</f>
        <v>642</v>
      </c>
      <c r="AN14" s="22"/>
      <c r="AO14" s="23">
        <f t="shared" si="1"/>
        <v>3</v>
      </c>
    </row>
    <row r="15" spans="1:42" x14ac:dyDescent="0.25">
      <c r="B15" s="58"/>
      <c r="C15" s="71">
        <f t="shared" si="2"/>
        <v>4</v>
      </c>
      <c r="D15" s="72" t="s">
        <v>21</v>
      </c>
      <c r="E15" s="35">
        <v>518</v>
      </c>
      <c r="F15" s="35"/>
      <c r="G15" s="36"/>
      <c r="H15" s="35"/>
      <c r="I15" s="36" t="s">
        <v>10</v>
      </c>
      <c r="J15" s="35">
        <f>E15-188</f>
        <v>330</v>
      </c>
      <c r="K15" s="35"/>
      <c r="L15" s="35"/>
      <c r="M15" s="35">
        <f>E15-J15</f>
        <v>188</v>
      </c>
      <c r="N15" s="35"/>
      <c r="O15" s="79">
        <f t="shared" si="0"/>
        <v>4</v>
      </c>
      <c r="P15" s="70"/>
      <c r="AC15" s="17">
        <f t="shared" si="3"/>
        <v>4</v>
      </c>
      <c r="AD15" s="34" t="s">
        <v>21</v>
      </c>
      <c r="AE15" s="24">
        <v>518</v>
      </c>
      <c r="AF15" s="20"/>
      <c r="AG15" s="25"/>
      <c r="AH15" s="26"/>
      <c r="AI15" s="25" t="s">
        <v>10</v>
      </c>
      <c r="AJ15" s="26">
        <v>330</v>
      </c>
      <c r="AK15" s="22"/>
      <c r="AL15" s="22"/>
      <c r="AM15" s="22">
        <f>+AE15-AJ15</f>
        <v>188</v>
      </c>
      <c r="AN15" s="22"/>
      <c r="AO15" s="23">
        <f t="shared" si="1"/>
        <v>4</v>
      </c>
    </row>
    <row r="16" spans="1:42" x14ac:dyDescent="0.25">
      <c r="B16" s="58"/>
      <c r="C16" s="71">
        <f t="shared" si="2"/>
        <v>5</v>
      </c>
      <c r="D16" s="72" t="s">
        <v>12</v>
      </c>
      <c r="E16" s="35">
        <v>675</v>
      </c>
      <c r="F16" s="35"/>
      <c r="G16" s="36"/>
      <c r="H16" s="35"/>
      <c r="I16" s="36" t="s">
        <v>11</v>
      </c>
      <c r="J16" s="35">
        <f>E16-540</f>
        <v>135</v>
      </c>
      <c r="K16" s="35"/>
      <c r="L16" s="35"/>
      <c r="M16" s="35">
        <f>E16-J16</f>
        <v>540</v>
      </c>
      <c r="N16" s="35"/>
      <c r="O16" s="79">
        <f t="shared" si="0"/>
        <v>5</v>
      </c>
      <c r="P16" s="70"/>
      <c r="AC16" s="17">
        <f t="shared" si="3"/>
        <v>5</v>
      </c>
      <c r="AD16" s="34" t="s">
        <v>12</v>
      </c>
      <c r="AE16" s="24">
        <v>675</v>
      </c>
      <c r="AF16" s="20"/>
      <c r="AG16" s="25"/>
      <c r="AH16" s="26"/>
      <c r="AI16" s="25" t="s">
        <v>11</v>
      </c>
      <c r="AJ16" s="26">
        <v>135</v>
      </c>
      <c r="AK16" s="22"/>
      <c r="AL16" s="22"/>
      <c r="AM16" s="22">
        <f>+AE16-AJ16</f>
        <v>540</v>
      </c>
      <c r="AN16" s="22"/>
      <c r="AO16" s="23">
        <f t="shared" si="1"/>
        <v>5</v>
      </c>
    </row>
    <row r="17" spans="2:41" x14ac:dyDescent="0.25">
      <c r="B17" s="58"/>
      <c r="C17" s="71">
        <f t="shared" si="2"/>
        <v>6</v>
      </c>
      <c r="D17" s="72" t="s">
        <v>28</v>
      </c>
      <c r="E17" s="35"/>
      <c r="F17" s="35">
        <v>268</v>
      </c>
      <c r="G17" s="36"/>
      <c r="H17" s="35"/>
      <c r="I17" s="36"/>
      <c r="J17" s="35"/>
      <c r="K17" s="35"/>
      <c r="L17" s="35"/>
      <c r="M17" s="35"/>
      <c r="N17" s="35">
        <f>F17</f>
        <v>268</v>
      </c>
      <c r="O17" s="79">
        <f t="shared" si="0"/>
        <v>6</v>
      </c>
      <c r="P17" s="70"/>
      <c r="AC17" s="17">
        <f t="shared" si="3"/>
        <v>6</v>
      </c>
      <c r="AD17" s="34" t="s">
        <v>28</v>
      </c>
      <c r="AE17" s="24"/>
      <c r="AF17" s="20">
        <v>268</v>
      </c>
      <c r="AG17" s="25"/>
      <c r="AH17" s="26"/>
      <c r="AI17" s="25"/>
      <c r="AJ17" s="26"/>
      <c r="AK17" s="22"/>
      <c r="AL17" s="22"/>
      <c r="AM17" s="22"/>
      <c r="AN17" s="22">
        <f>+AF17</f>
        <v>268</v>
      </c>
      <c r="AO17" s="23">
        <f t="shared" si="1"/>
        <v>6</v>
      </c>
    </row>
    <row r="18" spans="2:41" x14ac:dyDescent="0.25">
      <c r="B18" s="58"/>
      <c r="C18" s="71">
        <f t="shared" si="2"/>
        <v>7</v>
      </c>
      <c r="D18" s="72" t="s">
        <v>29</v>
      </c>
      <c r="E18" s="35"/>
      <c r="F18" s="35">
        <v>9695</v>
      </c>
      <c r="G18" s="36"/>
      <c r="H18" s="35"/>
      <c r="I18" s="36"/>
      <c r="J18" s="35"/>
      <c r="K18" s="35"/>
      <c r="L18" s="35"/>
      <c r="M18" s="35"/>
      <c r="N18" s="35">
        <f>F18</f>
        <v>9695</v>
      </c>
      <c r="O18" s="79">
        <f t="shared" si="0"/>
        <v>7</v>
      </c>
      <c r="P18" s="70"/>
      <c r="AC18" s="17">
        <f t="shared" si="3"/>
        <v>7</v>
      </c>
      <c r="AD18" s="34" t="s">
        <v>29</v>
      </c>
      <c r="AE18" s="24"/>
      <c r="AF18" s="20">
        <v>9695</v>
      </c>
      <c r="AG18" s="25"/>
      <c r="AH18" s="26"/>
      <c r="AI18" s="25"/>
      <c r="AJ18" s="26"/>
      <c r="AK18" s="22"/>
      <c r="AL18" s="22"/>
      <c r="AM18" s="22"/>
      <c r="AN18" s="22">
        <f>+AF18</f>
        <v>9695</v>
      </c>
      <c r="AO18" s="23">
        <f t="shared" si="1"/>
        <v>7</v>
      </c>
    </row>
    <row r="19" spans="2:41" x14ac:dyDescent="0.25">
      <c r="B19" s="58"/>
      <c r="C19" s="71">
        <f t="shared" si="2"/>
        <v>8</v>
      </c>
      <c r="D19" s="72" t="s">
        <v>30</v>
      </c>
      <c r="E19" s="35">
        <v>375</v>
      </c>
      <c r="F19" s="35"/>
      <c r="G19" s="36"/>
      <c r="H19" s="35"/>
      <c r="I19" s="36"/>
      <c r="J19" s="35"/>
      <c r="K19" s="35"/>
      <c r="L19" s="35"/>
      <c r="M19" s="35">
        <f>E19</f>
        <v>375</v>
      </c>
      <c r="N19" s="35"/>
      <c r="O19" s="79">
        <f t="shared" si="0"/>
        <v>8</v>
      </c>
      <c r="P19" s="70"/>
      <c r="AC19" s="17">
        <f t="shared" si="3"/>
        <v>8</v>
      </c>
      <c r="AD19" s="34" t="s">
        <v>30</v>
      </c>
      <c r="AE19" s="24">
        <v>375</v>
      </c>
      <c r="AF19" s="20"/>
      <c r="AG19" s="25"/>
      <c r="AH19" s="26"/>
      <c r="AI19" s="25"/>
      <c r="AJ19" s="26"/>
      <c r="AK19" s="22"/>
      <c r="AL19" s="22"/>
      <c r="AM19" s="22">
        <f>+AE19</f>
        <v>375</v>
      </c>
      <c r="AN19" s="22"/>
      <c r="AO19" s="23">
        <f t="shared" si="1"/>
        <v>8</v>
      </c>
    </row>
    <row r="20" spans="2:41" x14ac:dyDescent="0.25">
      <c r="B20" s="58"/>
      <c r="C20" s="71">
        <f t="shared" si="2"/>
        <v>9</v>
      </c>
      <c r="D20" s="72" t="s">
        <v>13</v>
      </c>
      <c r="E20" s="35"/>
      <c r="F20" s="35"/>
      <c r="G20" s="36"/>
      <c r="H20" s="35"/>
      <c r="I20" s="36"/>
      <c r="J20" s="35"/>
      <c r="K20" s="35"/>
      <c r="L20" s="35"/>
      <c r="M20" s="35"/>
      <c r="N20" s="35"/>
      <c r="O20" s="79">
        <f t="shared" si="0"/>
        <v>9</v>
      </c>
      <c r="P20" s="70"/>
      <c r="AC20" s="17">
        <f t="shared" si="3"/>
        <v>9</v>
      </c>
      <c r="AD20" s="34" t="s">
        <v>13</v>
      </c>
      <c r="AE20" s="24"/>
      <c r="AF20" s="20"/>
      <c r="AG20" s="25"/>
      <c r="AH20" s="26"/>
      <c r="AI20" s="25"/>
      <c r="AJ20" s="26"/>
      <c r="AK20" s="22"/>
      <c r="AL20" s="22"/>
      <c r="AM20" s="22"/>
      <c r="AN20" s="22"/>
      <c r="AO20" s="23">
        <f t="shared" si="1"/>
        <v>9</v>
      </c>
    </row>
    <row r="21" spans="2:41" x14ac:dyDescent="0.25">
      <c r="B21" s="58"/>
      <c r="C21" s="71">
        <f t="shared" si="2"/>
        <v>10</v>
      </c>
      <c r="D21" s="72" t="s">
        <v>14</v>
      </c>
      <c r="E21" s="35"/>
      <c r="F21" s="35">
        <v>1704</v>
      </c>
      <c r="G21" s="36"/>
      <c r="H21" s="35"/>
      <c r="I21" s="36"/>
      <c r="J21" s="35"/>
      <c r="K21" s="35"/>
      <c r="L21" s="35">
        <f>F21</f>
        <v>1704</v>
      </c>
      <c r="M21" s="35"/>
      <c r="N21" s="35"/>
      <c r="O21" s="79">
        <f t="shared" si="0"/>
        <v>10</v>
      </c>
      <c r="P21" s="70"/>
      <c r="AC21" s="17">
        <f t="shared" si="3"/>
        <v>10</v>
      </c>
      <c r="AD21" s="34" t="s">
        <v>14</v>
      </c>
      <c r="AE21" s="24"/>
      <c r="AF21" s="20">
        <v>1704</v>
      </c>
      <c r="AG21" s="25"/>
      <c r="AH21" s="26"/>
      <c r="AI21" s="25"/>
      <c r="AJ21" s="26"/>
      <c r="AK21" s="22"/>
      <c r="AL21" s="22">
        <f>+AF21</f>
        <v>1704</v>
      </c>
      <c r="AM21" s="22"/>
      <c r="AN21" s="22"/>
      <c r="AO21" s="23">
        <f t="shared" si="1"/>
        <v>10</v>
      </c>
    </row>
    <row r="22" spans="2:41" x14ac:dyDescent="0.25">
      <c r="B22" s="58"/>
      <c r="C22" s="71">
        <f>+C21+1</f>
        <v>11</v>
      </c>
      <c r="D22" s="72" t="s">
        <v>15</v>
      </c>
      <c r="E22" s="35">
        <v>255</v>
      </c>
      <c r="F22" s="35"/>
      <c r="G22" s="36"/>
      <c r="H22" s="35"/>
      <c r="I22" s="36"/>
      <c r="J22" s="35"/>
      <c r="K22" s="35">
        <v>255</v>
      </c>
      <c r="L22" s="35"/>
      <c r="M22" s="35"/>
      <c r="N22" s="35"/>
      <c r="O22" s="79">
        <f t="shared" si="0"/>
        <v>11</v>
      </c>
      <c r="P22" s="70"/>
      <c r="AC22" s="17">
        <f>+AC21+1</f>
        <v>11</v>
      </c>
      <c r="AD22" s="34" t="s">
        <v>15</v>
      </c>
      <c r="AE22" s="24">
        <v>255</v>
      </c>
      <c r="AF22" s="20"/>
      <c r="AG22" s="25"/>
      <c r="AH22" s="26"/>
      <c r="AI22" s="25"/>
      <c r="AJ22" s="26"/>
      <c r="AK22" s="22">
        <f t="shared" ref="AK22:AK27" si="4">+AE22+AH22</f>
        <v>255</v>
      </c>
      <c r="AL22" s="22"/>
      <c r="AM22" s="22"/>
      <c r="AN22" s="22"/>
      <c r="AO22" s="23">
        <f t="shared" si="1"/>
        <v>11</v>
      </c>
    </row>
    <row r="23" spans="2:41" x14ac:dyDescent="0.25">
      <c r="B23" s="58"/>
      <c r="C23" s="71">
        <v>12</v>
      </c>
      <c r="D23" s="72" t="s">
        <v>31</v>
      </c>
      <c r="E23" s="35">
        <v>2</v>
      </c>
      <c r="F23" s="35"/>
      <c r="G23" s="36"/>
      <c r="H23" s="35"/>
      <c r="I23" s="36"/>
      <c r="J23" s="35"/>
      <c r="K23" s="35">
        <v>2</v>
      </c>
      <c r="L23" s="35"/>
      <c r="M23" s="35"/>
      <c r="N23" s="35"/>
      <c r="O23" s="79">
        <f t="shared" si="0"/>
        <v>12</v>
      </c>
      <c r="P23" s="70"/>
      <c r="AC23" s="17">
        <f>+AC22+1</f>
        <v>12</v>
      </c>
      <c r="AD23" s="34" t="s">
        <v>31</v>
      </c>
      <c r="AE23" s="24">
        <v>2</v>
      </c>
      <c r="AF23" s="20"/>
      <c r="AG23" s="25"/>
      <c r="AH23" s="26"/>
      <c r="AI23" s="25"/>
      <c r="AJ23" s="26"/>
      <c r="AK23" s="22">
        <f t="shared" si="4"/>
        <v>2</v>
      </c>
      <c r="AL23" s="22"/>
      <c r="AM23" s="22"/>
      <c r="AN23" s="22"/>
      <c r="AO23" s="23">
        <f>+AC23</f>
        <v>12</v>
      </c>
    </row>
    <row r="24" spans="2:41" x14ac:dyDescent="0.25">
      <c r="B24" s="58"/>
      <c r="C24" s="71">
        <v>13</v>
      </c>
      <c r="D24" s="72" t="s">
        <v>16</v>
      </c>
      <c r="E24" s="35"/>
      <c r="F24" s="35"/>
      <c r="G24" s="36" t="s">
        <v>11</v>
      </c>
      <c r="H24" s="35">
        <v>135</v>
      </c>
      <c r="I24" s="36"/>
      <c r="J24" s="35"/>
      <c r="K24" s="35">
        <v>135</v>
      </c>
      <c r="L24" s="35"/>
      <c r="M24" s="35"/>
      <c r="N24" s="35"/>
      <c r="O24" s="79">
        <f t="shared" si="0"/>
        <v>13</v>
      </c>
      <c r="P24" s="70"/>
      <c r="AC24" s="17">
        <f>+AC22+1</f>
        <v>12</v>
      </c>
      <c r="AD24" s="34" t="s">
        <v>16</v>
      </c>
      <c r="AE24" s="24"/>
      <c r="AF24" s="20"/>
      <c r="AG24" s="25" t="s">
        <v>11</v>
      </c>
      <c r="AH24" s="26">
        <v>135</v>
      </c>
      <c r="AI24" s="25"/>
      <c r="AJ24" s="26"/>
      <c r="AK24" s="22">
        <f t="shared" si="4"/>
        <v>135</v>
      </c>
      <c r="AL24" s="22"/>
      <c r="AM24" s="22"/>
      <c r="AN24" s="22"/>
      <c r="AO24" s="23">
        <f t="shared" si="1"/>
        <v>12</v>
      </c>
    </row>
    <row r="25" spans="2:41" x14ac:dyDescent="0.25">
      <c r="B25" s="58"/>
      <c r="C25" s="71">
        <v>14</v>
      </c>
      <c r="D25" s="72" t="s">
        <v>17</v>
      </c>
      <c r="E25" s="35">
        <v>138</v>
      </c>
      <c r="F25" s="35"/>
      <c r="G25" s="36"/>
      <c r="H25" s="35"/>
      <c r="I25" s="36"/>
      <c r="J25" s="35"/>
      <c r="K25" s="35">
        <v>138</v>
      </c>
      <c r="L25" s="35"/>
      <c r="M25" s="35"/>
      <c r="N25" s="35"/>
      <c r="O25" s="79">
        <f t="shared" si="0"/>
        <v>14</v>
      </c>
      <c r="P25" s="70"/>
      <c r="AC25" s="17">
        <f t="shared" si="3"/>
        <v>13</v>
      </c>
      <c r="AD25" s="34" t="s">
        <v>17</v>
      </c>
      <c r="AE25" s="24">
        <v>138</v>
      </c>
      <c r="AF25" s="20"/>
      <c r="AG25" s="25"/>
      <c r="AH25" s="26"/>
      <c r="AI25" s="25"/>
      <c r="AJ25" s="26"/>
      <c r="AK25" s="22">
        <f t="shared" si="4"/>
        <v>138</v>
      </c>
      <c r="AL25" s="22"/>
      <c r="AM25" s="22"/>
      <c r="AN25" s="22"/>
      <c r="AO25" s="23">
        <f t="shared" si="1"/>
        <v>13</v>
      </c>
    </row>
    <row r="26" spans="2:41" x14ac:dyDescent="0.25">
      <c r="B26" s="58"/>
      <c r="C26" s="71">
        <v>15</v>
      </c>
      <c r="D26" s="72" t="s">
        <v>20</v>
      </c>
      <c r="E26" s="35"/>
      <c r="F26" s="35"/>
      <c r="G26" s="36" t="s">
        <v>10</v>
      </c>
      <c r="H26" s="35">
        <v>330</v>
      </c>
      <c r="I26" s="36"/>
      <c r="J26" s="35"/>
      <c r="K26" s="35">
        <v>330</v>
      </c>
      <c r="L26" s="35"/>
      <c r="M26" s="35"/>
      <c r="N26" s="35"/>
      <c r="O26" s="79">
        <f t="shared" si="0"/>
        <v>15</v>
      </c>
      <c r="P26" s="70"/>
      <c r="AC26" s="17">
        <f t="shared" si="3"/>
        <v>14</v>
      </c>
      <c r="AD26" s="34" t="s">
        <v>20</v>
      </c>
      <c r="AE26" s="24"/>
      <c r="AF26" s="20"/>
      <c r="AG26" s="25" t="s">
        <v>10</v>
      </c>
      <c r="AH26" s="26">
        <v>330</v>
      </c>
      <c r="AI26" s="25"/>
      <c r="AJ26" s="26"/>
      <c r="AK26" s="22">
        <f t="shared" si="4"/>
        <v>330</v>
      </c>
      <c r="AL26" s="22"/>
      <c r="AM26" s="22"/>
      <c r="AN26" s="22"/>
      <c r="AO26" s="23">
        <f t="shared" si="1"/>
        <v>14</v>
      </c>
    </row>
    <row r="27" spans="2:41" ht="13" thickBot="1" x14ac:dyDescent="0.3">
      <c r="B27" s="58"/>
      <c r="C27" s="71">
        <v>16</v>
      </c>
      <c r="D27" s="72" t="s">
        <v>18</v>
      </c>
      <c r="E27" s="37">
        <v>272</v>
      </c>
      <c r="F27" s="38"/>
      <c r="G27" s="39"/>
      <c r="H27" s="38"/>
      <c r="I27" s="39"/>
      <c r="J27" s="38"/>
      <c r="K27" s="37">
        <v>272</v>
      </c>
      <c r="L27" s="38"/>
      <c r="M27" s="38"/>
      <c r="N27" s="38"/>
      <c r="O27" s="79">
        <f t="shared" si="0"/>
        <v>16</v>
      </c>
      <c r="P27" s="70"/>
      <c r="AC27" s="17">
        <f t="shared" si="3"/>
        <v>15</v>
      </c>
      <c r="AD27" s="34" t="s">
        <v>18</v>
      </c>
      <c r="AE27" s="24">
        <v>272</v>
      </c>
      <c r="AF27" s="20"/>
      <c r="AG27" s="21"/>
      <c r="AH27" s="19"/>
      <c r="AI27" s="21"/>
      <c r="AJ27" s="19"/>
      <c r="AK27" s="22">
        <f t="shared" si="4"/>
        <v>272</v>
      </c>
      <c r="AL27" s="27"/>
      <c r="AM27" s="27"/>
      <c r="AN27" s="27"/>
      <c r="AO27" s="23">
        <f t="shared" si="1"/>
        <v>15</v>
      </c>
    </row>
    <row r="28" spans="2:41" ht="13" thickBot="1" x14ac:dyDescent="0.3">
      <c r="B28" s="58"/>
      <c r="C28" s="71">
        <v>17</v>
      </c>
      <c r="D28" s="72"/>
      <c r="E28" s="40">
        <f>E12+E13+E14+E15+E16+E19+E22+E23+E25+E27</f>
        <v>11667</v>
      </c>
      <c r="F28" s="40">
        <f>F17+F18+F21</f>
        <v>11667</v>
      </c>
      <c r="G28" s="41"/>
      <c r="H28" s="40">
        <f>H24+H26</f>
        <v>465</v>
      </c>
      <c r="I28" s="41"/>
      <c r="J28" s="40">
        <v>465</v>
      </c>
      <c r="K28" s="53">
        <f>K22+K23+K24+K25+K26+K27</f>
        <v>1132</v>
      </c>
      <c r="L28" s="53">
        <f>L21</f>
        <v>1704</v>
      </c>
      <c r="M28" s="53">
        <f>M12+M13+M14+M15+M16+M19</f>
        <v>10535</v>
      </c>
      <c r="N28" s="53">
        <f>N17+N18</f>
        <v>9963</v>
      </c>
      <c r="O28" s="79">
        <f t="shared" si="0"/>
        <v>17</v>
      </c>
      <c r="P28" s="70"/>
      <c r="AC28" s="17">
        <f t="shared" si="3"/>
        <v>16</v>
      </c>
      <c r="AD28" s="18"/>
      <c r="AE28" s="24">
        <f t="shared" ref="AE28:AN28" si="5">SUM(AE12:AE27)</f>
        <v>11667</v>
      </c>
      <c r="AF28" s="24">
        <f t="shared" si="5"/>
        <v>11667</v>
      </c>
      <c r="AG28" s="24">
        <f t="shared" si="5"/>
        <v>0</v>
      </c>
      <c r="AH28" s="24">
        <f t="shared" si="5"/>
        <v>465</v>
      </c>
      <c r="AI28" s="24">
        <f t="shared" si="5"/>
        <v>0</v>
      </c>
      <c r="AJ28" s="24">
        <f t="shared" si="5"/>
        <v>465</v>
      </c>
      <c r="AK28" s="24">
        <f t="shared" si="5"/>
        <v>1132</v>
      </c>
      <c r="AL28" s="24">
        <f t="shared" si="5"/>
        <v>1704</v>
      </c>
      <c r="AM28" s="24">
        <f t="shared" si="5"/>
        <v>10535</v>
      </c>
      <c r="AN28" s="24">
        <f t="shared" si="5"/>
        <v>9963</v>
      </c>
      <c r="AO28" s="23">
        <f t="shared" si="1"/>
        <v>16</v>
      </c>
    </row>
    <row r="29" spans="2:41" ht="13.5" thickTop="1" thickBot="1" x14ac:dyDescent="0.3">
      <c r="B29" s="58"/>
      <c r="C29" s="71">
        <f t="shared" si="2"/>
        <v>18</v>
      </c>
      <c r="D29" s="42" t="s">
        <v>22</v>
      </c>
      <c r="E29" s="43"/>
      <c r="F29" s="43"/>
      <c r="G29" s="44"/>
      <c r="H29" s="43"/>
      <c r="I29" s="44"/>
      <c r="J29" s="43"/>
      <c r="K29" s="51">
        <f>L28-K28</f>
        <v>572</v>
      </c>
      <c r="L29" s="52"/>
      <c r="M29" s="52"/>
      <c r="N29" s="52">
        <v>572</v>
      </c>
      <c r="O29" s="79">
        <f t="shared" si="0"/>
        <v>18</v>
      </c>
      <c r="P29" s="70"/>
      <c r="AC29" s="17">
        <f t="shared" si="3"/>
        <v>17</v>
      </c>
      <c r="AD29" s="18" t="s">
        <v>22</v>
      </c>
      <c r="AE29" s="24"/>
      <c r="AF29" s="20"/>
      <c r="AG29" s="21"/>
      <c r="AH29" s="19"/>
      <c r="AI29" s="21"/>
      <c r="AJ29" s="19"/>
      <c r="AK29" s="22">
        <v>572</v>
      </c>
      <c r="AN29" s="22">
        <f>+AK29</f>
        <v>572</v>
      </c>
      <c r="AO29" s="23">
        <f t="shared" si="1"/>
        <v>17</v>
      </c>
    </row>
    <row r="30" spans="2:41" ht="13" thickBot="1" x14ac:dyDescent="0.3">
      <c r="B30" s="58"/>
      <c r="C30" s="71">
        <f t="shared" si="2"/>
        <v>19</v>
      </c>
      <c r="D30" s="75"/>
      <c r="E30" s="45"/>
      <c r="F30" s="45"/>
      <c r="G30" s="46"/>
      <c r="H30" s="45"/>
      <c r="I30" s="46"/>
      <c r="J30" s="45"/>
      <c r="K30" s="40">
        <f>K28+K29</f>
        <v>1704</v>
      </c>
      <c r="L30" s="40">
        <f>L28</f>
        <v>1704</v>
      </c>
      <c r="M30" s="40">
        <f>M28</f>
        <v>10535</v>
      </c>
      <c r="N30" s="40">
        <f>M28</f>
        <v>10535</v>
      </c>
      <c r="O30" s="79">
        <f t="shared" si="0"/>
        <v>19</v>
      </c>
      <c r="P30" s="70"/>
      <c r="AC30" s="17">
        <f t="shared" si="3"/>
        <v>18</v>
      </c>
      <c r="AD30" s="28"/>
      <c r="AE30" s="24"/>
      <c r="AF30" s="20"/>
      <c r="AG30" s="21"/>
      <c r="AH30" s="19"/>
      <c r="AI30" s="21"/>
      <c r="AJ30" s="19"/>
      <c r="AK30" s="22">
        <f>+AK28+AK29</f>
        <v>1704</v>
      </c>
      <c r="AL30" s="22">
        <f>+AL28+AL29</f>
        <v>1704</v>
      </c>
      <c r="AM30" s="22">
        <f>+AM28+AM29</f>
        <v>10535</v>
      </c>
      <c r="AN30" s="22">
        <f>+AN28+AN29</f>
        <v>10535</v>
      </c>
      <c r="AO30" s="23">
        <f t="shared" si="1"/>
        <v>18</v>
      </c>
    </row>
    <row r="31" spans="2:41" ht="13" thickTop="1" x14ac:dyDescent="0.25">
      <c r="B31" s="58"/>
      <c r="C31" s="71">
        <f t="shared" si="2"/>
        <v>20</v>
      </c>
      <c r="D31" s="75"/>
      <c r="E31" s="47"/>
      <c r="F31" s="48"/>
      <c r="G31" s="46"/>
      <c r="H31" s="49"/>
      <c r="I31" s="46"/>
      <c r="J31" s="49"/>
      <c r="K31" s="50"/>
      <c r="L31" s="50"/>
      <c r="M31" s="50"/>
      <c r="N31" s="50"/>
      <c r="O31" s="79">
        <f t="shared" si="0"/>
        <v>20</v>
      </c>
      <c r="P31" s="70"/>
      <c r="AC31" s="17">
        <f t="shared" si="3"/>
        <v>19</v>
      </c>
      <c r="AD31" s="28"/>
      <c r="AE31" s="24"/>
      <c r="AF31" s="20"/>
      <c r="AG31" s="29"/>
      <c r="AH31" s="24"/>
      <c r="AI31" s="30"/>
      <c r="AJ31" s="24"/>
      <c r="AK31" s="20"/>
      <c r="AL31" s="20"/>
      <c r="AM31" s="20"/>
      <c r="AN31" s="20"/>
      <c r="AO31" s="23">
        <f t="shared" si="1"/>
        <v>19</v>
      </c>
    </row>
    <row r="32" spans="2:41" x14ac:dyDescent="0.25">
      <c r="B32" s="58"/>
      <c r="C32" s="71">
        <f t="shared" si="2"/>
        <v>21</v>
      </c>
      <c r="D32" s="75"/>
      <c r="E32" s="47"/>
      <c r="F32" s="48"/>
      <c r="G32" s="46"/>
      <c r="H32" s="49"/>
      <c r="I32" s="46"/>
      <c r="J32" s="49"/>
      <c r="K32" s="49"/>
      <c r="L32" s="49"/>
      <c r="M32" s="49"/>
      <c r="N32" s="49"/>
      <c r="O32" s="79">
        <f t="shared" si="0"/>
        <v>21</v>
      </c>
      <c r="P32" s="70"/>
      <c r="AC32" s="17">
        <f t="shared" si="3"/>
        <v>20</v>
      </c>
      <c r="AD32" s="28"/>
      <c r="AE32" s="24"/>
      <c r="AF32" s="20"/>
      <c r="AG32" s="29"/>
      <c r="AH32" s="24"/>
      <c r="AI32" s="30"/>
      <c r="AJ32" s="24"/>
      <c r="AK32" s="20"/>
      <c r="AL32" s="20"/>
      <c r="AM32" s="20"/>
      <c r="AN32" s="20"/>
      <c r="AO32" s="23">
        <f t="shared" si="1"/>
        <v>20</v>
      </c>
    </row>
    <row r="33" spans="2:16" x14ac:dyDescent="0.25">
      <c r="B33" s="74"/>
      <c r="C33" s="73"/>
      <c r="D33" s="76"/>
      <c r="E33" s="76"/>
      <c r="F33" s="76"/>
      <c r="G33" s="73"/>
      <c r="H33" s="73"/>
      <c r="I33" s="73"/>
      <c r="J33" s="73"/>
      <c r="K33" s="73"/>
      <c r="L33" s="73"/>
      <c r="M33" s="73"/>
      <c r="N33" s="73"/>
      <c r="O33" s="77"/>
      <c r="P33" s="78"/>
    </row>
    <row r="34" spans="2:16" x14ac:dyDescent="0.25">
      <c r="D34" s="2"/>
      <c r="E34" s="2"/>
      <c r="F34" s="2"/>
    </row>
    <row r="35" spans="2:16" x14ac:dyDescent="0.25">
      <c r="C35" t="s">
        <v>24</v>
      </c>
      <c r="D35" s="2"/>
      <c r="E35" s="2"/>
      <c r="F35" s="2"/>
    </row>
    <row r="36" spans="2:16" x14ac:dyDescent="0.25">
      <c r="D36" s="2"/>
      <c r="E36" s="2"/>
      <c r="F36" s="2"/>
    </row>
    <row r="37" spans="2:16" x14ac:dyDescent="0.25">
      <c r="D37" s="2"/>
      <c r="E37" s="2"/>
      <c r="F37" s="2"/>
    </row>
    <row r="38" spans="2:16" x14ac:dyDescent="0.25">
      <c r="D38" s="2"/>
      <c r="E38" s="2"/>
      <c r="F38" s="2"/>
    </row>
    <row r="39" spans="2:16" x14ac:dyDescent="0.25">
      <c r="D39" s="2"/>
      <c r="E39" s="2"/>
      <c r="F39" s="2"/>
    </row>
    <row r="40" spans="2:16" x14ac:dyDescent="0.25">
      <c r="D40" s="2"/>
      <c r="E40" s="2"/>
      <c r="F40" s="2"/>
    </row>
    <row r="41" spans="2:16" x14ac:dyDescent="0.25">
      <c r="D41" s="2"/>
      <c r="E41" s="2"/>
      <c r="F41" s="2"/>
    </row>
    <row r="42" spans="2:16" x14ac:dyDescent="0.25">
      <c r="D42" s="2"/>
      <c r="E42" s="2"/>
      <c r="F42" s="2"/>
    </row>
    <row r="43" spans="2:16" x14ac:dyDescent="0.25">
      <c r="D43" s="2"/>
      <c r="E43" s="2"/>
      <c r="F43" s="2"/>
    </row>
    <row r="44" spans="2:16" x14ac:dyDescent="0.25">
      <c r="D44" s="2"/>
      <c r="E44" s="2"/>
      <c r="F44" s="2"/>
    </row>
    <row r="45" spans="2:16" x14ac:dyDescent="0.25">
      <c r="D45" s="2"/>
      <c r="E45" s="2"/>
      <c r="F45" s="2"/>
    </row>
    <row r="46" spans="2:16" x14ac:dyDescent="0.25">
      <c r="D46" s="2"/>
      <c r="E46" s="2"/>
      <c r="F46" s="2"/>
    </row>
    <row r="103" spans="29:42" x14ac:dyDescent="0.25"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</row>
    <row r="104" spans="29:42" x14ac:dyDescent="0.25"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</row>
    <row r="105" spans="29:42" x14ac:dyDescent="0.25"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</row>
    <row r="106" spans="29:42" x14ac:dyDescent="0.25"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</row>
    <row r="107" spans="29:42" x14ac:dyDescent="0.25"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</row>
    <row r="108" spans="29:42" x14ac:dyDescent="0.25">
      <c r="AC108" s="31"/>
      <c r="AD108" s="31">
        <f t="shared" ref="AD108:AN118" si="6">IF(AD11=D11,0,1)</f>
        <v>0</v>
      </c>
      <c r="AE108" s="31">
        <f t="shared" si="6"/>
        <v>0</v>
      </c>
      <c r="AF108" s="31">
        <f t="shared" si="6"/>
        <v>0</v>
      </c>
      <c r="AG108" s="31">
        <f t="shared" si="6"/>
        <v>0</v>
      </c>
      <c r="AH108" s="31">
        <f t="shared" si="6"/>
        <v>0</v>
      </c>
      <c r="AI108" s="31">
        <f t="shared" si="6"/>
        <v>0</v>
      </c>
      <c r="AJ108" s="31">
        <f t="shared" si="6"/>
        <v>0</v>
      </c>
      <c r="AK108" s="31">
        <f t="shared" si="6"/>
        <v>0</v>
      </c>
      <c r="AL108" s="31">
        <f t="shared" si="6"/>
        <v>0</v>
      </c>
      <c r="AM108" s="31">
        <f t="shared" si="6"/>
        <v>0</v>
      </c>
      <c r="AN108" s="31">
        <f t="shared" si="6"/>
        <v>0</v>
      </c>
    </row>
    <row r="109" spans="29:42" x14ac:dyDescent="0.25">
      <c r="AC109" s="31"/>
      <c r="AD109" s="31">
        <f t="shared" si="6"/>
        <v>0</v>
      </c>
      <c r="AE109" s="31">
        <f t="shared" si="6"/>
        <v>0</v>
      </c>
      <c r="AF109" s="31">
        <f t="shared" si="6"/>
        <v>0</v>
      </c>
      <c r="AG109" s="31">
        <f t="shared" si="6"/>
        <v>0</v>
      </c>
      <c r="AH109" s="31">
        <f t="shared" si="6"/>
        <v>0</v>
      </c>
      <c r="AI109" s="31">
        <f t="shared" si="6"/>
        <v>0</v>
      </c>
      <c r="AJ109" s="31">
        <f t="shared" si="6"/>
        <v>0</v>
      </c>
      <c r="AK109" s="31">
        <f t="shared" si="6"/>
        <v>0</v>
      </c>
      <c r="AL109" s="31">
        <f t="shared" si="6"/>
        <v>0</v>
      </c>
      <c r="AM109" s="31">
        <f t="shared" si="6"/>
        <v>0</v>
      </c>
      <c r="AN109" s="31">
        <f t="shared" si="6"/>
        <v>0</v>
      </c>
      <c r="AO109" s="31"/>
      <c r="AP109" s="31"/>
    </row>
    <row r="110" spans="29:42" x14ac:dyDescent="0.25">
      <c r="AC110" s="31"/>
      <c r="AD110" s="31">
        <f t="shared" si="6"/>
        <v>0</v>
      </c>
      <c r="AE110" s="31">
        <f t="shared" si="6"/>
        <v>0</v>
      </c>
      <c r="AF110" s="31">
        <f t="shared" si="6"/>
        <v>0</v>
      </c>
      <c r="AG110" s="31">
        <f t="shared" si="6"/>
        <v>0</v>
      </c>
      <c r="AH110" s="31">
        <f t="shared" si="6"/>
        <v>0</v>
      </c>
      <c r="AI110" s="31">
        <f t="shared" si="6"/>
        <v>0</v>
      </c>
      <c r="AJ110" s="31">
        <f t="shared" si="6"/>
        <v>0</v>
      </c>
      <c r="AK110" s="31">
        <f t="shared" si="6"/>
        <v>0</v>
      </c>
      <c r="AL110" s="31">
        <f t="shared" si="6"/>
        <v>0</v>
      </c>
      <c r="AM110" s="31">
        <f t="shared" si="6"/>
        <v>0</v>
      </c>
      <c r="AN110" s="31">
        <f t="shared" si="6"/>
        <v>0</v>
      </c>
    </row>
    <row r="111" spans="29:42" x14ac:dyDescent="0.25">
      <c r="AC111" s="31"/>
      <c r="AD111" s="31">
        <f t="shared" si="6"/>
        <v>0</v>
      </c>
      <c r="AE111" s="31">
        <f t="shared" si="6"/>
        <v>0</v>
      </c>
      <c r="AF111" s="31">
        <f t="shared" si="6"/>
        <v>0</v>
      </c>
      <c r="AG111" s="31">
        <f t="shared" si="6"/>
        <v>0</v>
      </c>
      <c r="AH111" s="31">
        <f t="shared" si="6"/>
        <v>0</v>
      </c>
      <c r="AI111" s="31">
        <f t="shared" si="6"/>
        <v>0</v>
      </c>
      <c r="AJ111" s="31">
        <f t="shared" si="6"/>
        <v>0</v>
      </c>
      <c r="AK111" s="31">
        <f t="shared" si="6"/>
        <v>0</v>
      </c>
      <c r="AL111" s="31">
        <f t="shared" si="6"/>
        <v>0</v>
      </c>
      <c r="AM111" s="31">
        <f t="shared" si="6"/>
        <v>0</v>
      </c>
      <c r="AN111" s="31">
        <f t="shared" si="6"/>
        <v>0</v>
      </c>
    </row>
    <row r="112" spans="29:42" x14ac:dyDescent="0.25">
      <c r="AC112" s="31"/>
      <c r="AD112" s="31">
        <f t="shared" si="6"/>
        <v>0</v>
      </c>
      <c r="AE112" s="31">
        <f t="shared" si="6"/>
        <v>0</v>
      </c>
      <c r="AF112" s="31">
        <f t="shared" si="6"/>
        <v>0</v>
      </c>
      <c r="AG112" s="31">
        <f t="shared" si="6"/>
        <v>0</v>
      </c>
      <c r="AH112" s="31">
        <f t="shared" si="6"/>
        <v>0</v>
      </c>
      <c r="AI112" s="31">
        <f t="shared" si="6"/>
        <v>0</v>
      </c>
      <c r="AJ112" s="31">
        <f t="shared" si="6"/>
        <v>0</v>
      </c>
      <c r="AK112" s="31">
        <f t="shared" si="6"/>
        <v>0</v>
      </c>
      <c r="AL112" s="31">
        <f t="shared" si="6"/>
        <v>0</v>
      </c>
      <c r="AM112" s="31">
        <f t="shared" si="6"/>
        <v>0</v>
      </c>
      <c r="AN112" s="31">
        <f t="shared" si="6"/>
        <v>0</v>
      </c>
    </row>
    <row r="113" spans="29:40" x14ac:dyDescent="0.25">
      <c r="AC113" s="31"/>
      <c r="AD113" s="31">
        <f t="shared" si="6"/>
        <v>0</v>
      </c>
      <c r="AE113" s="31">
        <f t="shared" si="6"/>
        <v>0</v>
      </c>
      <c r="AF113" s="31">
        <f t="shared" si="6"/>
        <v>0</v>
      </c>
      <c r="AG113" s="31">
        <f t="shared" si="6"/>
        <v>0</v>
      </c>
      <c r="AH113" s="31">
        <f t="shared" si="6"/>
        <v>0</v>
      </c>
      <c r="AI113" s="31">
        <f t="shared" si="6"/>
        <v>0</v>
      </c>
      <c r="AJ113" s="31">
        <f t="shared" si="6"/>
        <v>0</v>
      </c>
      <c r="AK113" s="31">
        <f t="shared" si="6"/>
        <v>0</v>
      </c>
      <c r="AL113" s="31">
        <f t="shared" si="6"/>
        <v>0</v>
      </c>
      <c r="AM113" s="31">
        <f t="shared" si="6"/>
        <v>0</v>
      </c>
      <c r="AN113" s="31">
        <f t="shared" si="6"/>
        <v>0</v>
      </c>
    </row>
    <row r="114" spans="29:40" x14ac:dyDescent="0.25">
      <c r="AC114" s="31"/>
      <c r="AD114" s="31">
        <f t="shared" si="6"/>
        <v>0</v>
      </c>
      <c r="AE114" s="31">
        <f t="shared" si="6"/>
        <v>0</v>
      </c>
      <c r="AF114" s="31">
        <f t="shared" si="6"/>
        <v>0</v>
      </c>
      <c r="AG114" s="31">
        <f t="shared" si="6"/>
        <v>0</v>
      </c>
      <c r="AH114" s="31">
        <f t="shared" si="6"/>
        <v>0</v>
      </c>
      <c r="AI114" s="31">
        <f t="shared" si="6"/>
        <v>0</v>
      </c>
      <c r="AJ114" s="31">
        <f t="shared" si="6"/>
        <v>0</v>
      </c>
      <c r="AK114" s="31">
        <f t="shared" si="6"/>
        <v>0</v>
      </c>
      <c r="AL114" s="31">
        <f t="shared" si="6"/>
        <v>0</v>
      </c>
      <c r="AM114" s="31">
        <f t="shared" si="6"/>
        <v>0</v>
      </c>
      <c r="AN114" s="31">
        <f t="shared" si="6"/>
        <v>0</v>
      </c>
    </row>
    <row r="115" spans="29:40" x14ac:dyDescent="0.25">
      <c r="AC115" s="31"/>
      <c r="AD115" s="31">
        <f t="shared" si="6"/>
        <v>0</v>
      </c>
      <c r="AE115" s="31">
        <f t="shared" si="6"/>
        <v>0</v>
      </c>
      <c r="AF115" s="31">
        <f t="shared" si="6"/>
        <v>0</v>
      </c>
      <c r="AG115" s="31">
        <f t="shared" si="6"/>
        <v>0</v>
      </c>
      <c r="AH115" s="31">
        <f t="shared" si="6"/>
        <v>0</v>
      </c>
      <c r="AI115" s="31">
        <f t="shared" si="6"/>
        <v>0</v>
      </c>
      <c r="AJ115" s="31">
        <f t="shared" si="6"/>
        <v>0</v>
      </c>
      <c r="AK115" s="31">
        <f t="shared" si="6"/>
        <v>0</v>
      </c>
      <c r="AL115" s="31">
        <f t="shared" si="6"/>
        <v>0</v>
      </c>
      <c r="AM115" s="31">
        <f t="shared" si="6"/>
        <v>0</v>
      </c>
      <c r="AN115" s="31">
        <f t="shared" si="6"/>
        <v>0</v>
      </c>
    </row>
    <row r="116" spans="29:40" x14ac:dyDescent="0.25">
      <c r="AC116" s="31"/>
      <c r="AD116" s="31">
        <f t="shared" si="6"/>
        <v>0</v>
      </c>
      <c r="AE116" s="31">
        <f t="shared" si="6"/>
        <v>0</v>
      </c>
      <c r="AF116" s="31">
        <f t="shared" si="6"/>
        <v>0</v>
      </c>
      <c r="AG116" s="31">
        <f t="shared" si="6"/>
        <v>0</v>
      </c>
      <c r="AH116" s="31">
        <f t="shared" si="6"/>
        <v>0</v>
      </c>
      <c r="AI116" s="31">
        <f t="shared" si="6"/>
        <v>0</v>
      </c>
      <c r="AJ116" s="31">
        <f t="shared" si="6"/>
        <v>0</v>
      </c>
      <c r="AK116" s="31">
        <f t="shared" si="6"/>
        <v>0</v>
      </c>
      <c r="AL116" s="31">
        <f t="shared" si="6"/>
        <v>0</v>
      </c>
      <c r="AM116" s="31">
        <f t="shared" si="6"/>
        <v>0</v>
      </c>
      <c r="AN116" s="31">
        <f t="shared" si="6"/>
        <v>0</v>
      </c>
    </row>
    <row r="117" spans="29:40" x14ac:dyDescent="0.25">
      <c r="AC117" s="31"/>
      <c r="AD117" s="31">
        <f t="shared" si="6"/>
        <v>0</v>
      </c>
      <c r="AE117" s="31">
        <f t="shared" si="6"/>
        <v>0</v>
      </c>
      <c r="AF117" s="31">
        <f t="shared" si="6"/>
        <v>0</v>
      </c>
      <c r="AG117" s="31">
        <f t="shared" si="6"/>
        <v>0</v>
      </c>
      <c r="AH117" s="31">
        <f t="shared" si="6"/>
        <v>0</v>
      </c>
      <c r="AI117" s="31">
        <f t="shared" si="6"/>
        <v>0</v>
      </c>
      <c r="AJ117" s="31">
        <f t="shared" si="6"/>
        <v>0</v>
      </c>
      <c r="AK117" s="31">
        <f t="shared" si="6"/>
        <v>0</v>
      </c>
      <c r="AL117" s="31">
        <f t="shared" si="6"/>
        <v>0</v>
      </c>
      <c r="AM117" s="31">
        <f t="shared" si="6"/>
        <v>0</v>
      </c>
      <c r="AN117" s="31">
        <f t="shared" si="6"/>
        <v>0</v>
      </c>
    </row>
    <row r="118" spans="29:40" x14ac:dyDescent="0.25">
      <c r="AC118" s="31"/>
      <c r="AD118" s="31">
        <f t="shared" si="6"/>
        <v>0</v>
      </c>
      <c r="AE118" s="31">
        <f t="shared" si="6"/>
        <v>0</v>
      </c>
      <c r="AF118" s="31">
        <f t="shared" si="6"/>
        <v>0</v>
      </c>
      <c r="AG118" s="31">
        <f t="shared" si="6"/>
        <v>0</v>
      </c>
      <c r="AH118" s="31">
        <f t="shared" si="6"/>
        <v>0</v>
      </c>
      <c r="AI118" s="31">
        <f t="shared" si="6"/>
        <v>0</v>
      </c>
      <c r="AJ118" s="31">
        <f t="shared" si="6"/>
        <v>0</v>
      </c>
      <c r="AK118" s="31">
        <f t="shared" si="6"/>
        <v>0</v>
      </c>
      <c r="AL118" s="31">
        <f t="shared" si="6"/>
        <v>0</v>
      </c>
      <c r="AM118" s="31">
        <f t="shared" si="6"/>
        <v>0</v>
      </c>
      <c r="AN118" s="31">
        <f t="shared" si="6"/>
        <v>0</v>
      </c>
    </row>
    <row r="119" spans="29:40" x14ac:dyDescent="0.25">
      <c r="AC119" s="31"/>
      <c r="AD119" s="31">
        <f t="shared" ref="AD119:AN120" si="7">IF(AD22=D22,0,1)</f>
        <v>0</v>
      </c>
      <c r="AE119" s="31">
        <f t="shared" si="7"/>
        <v>0</v>
      </c>
      <c r="AF119" s="31">
        <f t="shared" si="7"/>
        <v>0</v>
      </c>
      <c r="AG119" s="31">
        <f t="shared" si="7"/>
        <v>0</v>
      </c>
      <c r="AH119" s="31">
        <f t="shared" si="7"/>
        <v>0</v>
      </c>
      <c r="AI119" s="31">
        <f t="shared" si="7"/>
        <v>0</v>
      </c>
      <c r="AJ119" s="31">
        <f t="shared" si="7"/>
        <v>0</v>
      </c>
      <c r="AK119" s="31">
        <f t="shared" si="7"/>
        <v>0</v>
      </c>
      <c r="AL119" s="31">
        <f t="shared" si="7"/>
        <v>0</v>
      </c>
      <c r="AM119" s="31">
        <f t="shared" si="7"/>
        <v>0</v>
      </c>
      <c r="AN119" s="31">
        <f t="shared" si="7"/>
        <v>0</v>
      </c>
    </row>
    <row r="120" spans="29:40" x14ac:dyDescent="0.25">
      <c r="AC120" s="31"/>
      <c r="AD120" s="31">
        <f t="shared" si="7"/>
        <v>0</v>
      </c>
      <c r="AE120" s="31">
        <f t="shared" si="7"/>
        <v>0</v>
      </c>
      <c r="AF120" s="31">
        <f t="shared" si="7"/>
        <v>0</v>
      </c>
      <c r="AG120" s="31">
        <f t="shared" si="7"/>
        <v>0</v>
      </c>
      <c r="AH120" s="31">
        <f t="shared" si="7"/>
        <v>0</v>
      </c>
      <c r="AI120" s="31">
        <f t="shared" si="7"/>
        <v>0</v>
      </c>
      <c r="AJ120" s="31">
        <f t="shared" si="7"/>
        <v>0</v>
      </c>
      <c r="AK120" s="31">
        <f t="shared" si="7"/>
        <v>0</v>
      </c>
      <c r="AL120" s="31">
        <f t="shared" si="7"/>
        <v>0</v>
      </c>
      <c r="AM120" s="31">
        <f t="shared" si="7"/>
        <v>0</v>
      </c>
      <c r="AN120" s="31">
        <f t="shared" si="7"/>
        <v>0</v>
      </c>
    </row>
    <row r="121" spans="29:40" x14ac:dyDescent="0.25">
      <c r="AC121" s="31"/>
      <c r="AD121" s="31">
        <f t="shared" ref="AD121:AD129" si="8">IF(AD24=D24,0,1)</f>
        <v>0</v>
      </c>
      <c r="AE121" s="31">
        <f t="shared" ref="AE121:AE129" si="9">IF(AE24=E24,0,1)</f>
        <v>0</v>
      </c>
      <c r="AF121" s="31">
        <f t="shared" ref="AF121:AF129" si="10">IF(AF24=F24,0,1)</f>
        <v>0</v>
      </c>
      <c r="AG121" s="31">
        <f t="shared" ref="AG121:AG129" si="11">IF(AG24=G24,0,1)</f>
        <v>0</v>
      </c>
      <c r="AH121" s="31">
        <f t="shared" ref="AH121:AH129" si="12">IF(AH24=H24,0,1)</f>
        <v>0</v>
      </c>
      <c r="AI121" s="31">
        <f t="shared" ref="AI121:AI129" si="13">IF(AI24=I24,0,1)</f>
        <v>0</v>
      </c>
      <c r="AJ121" s="31">
        <f t="shared" ref="AJ121:AJ129" si="14">IF(AJ24=J24,0,1)</f>
        <v>0</v>
      </c>
      <c r="AK121" s="31">
        <f>IF(AK24=K24,0,1)</f>
        <v>0</v>
      </c>
      <c r="AL121" s="31">
        <f t="shared" ref="AL121:AL129" si="15">IF(AL24=L24,0,1)</f>
        <v>0</v>
      </c>
      <c r="AM121" s="31">
        <f t="shared" ref="AM121:AM129" si="16">IF(AM24=M24,0,1)</f>
        <v>0</v>
      </c>
      <c r="AN121" s="31">
        <f t="shared" ref="AN121:AN129" si="17">IF(AN24=N24,0,1)</f>
        <v>0</v>
      </c>
    </row>
    <row r="122" spans="29:40" x14ac:dyDescent="0.25">
      <c r="AC122" s="31"/>
      <c r="AD122" s="31">
        <f t="shared" si="8"/>
        <v>0</v>
      </c>
      <c r="AE122" s="31">
        <f t="shared" si="9"/>
        <v>0</v>
      </c>
      <c r="AF122" s="31">
        <f t="shared" si="10"/>
        <v>0</v>
      </c>
      <c r="AG122" s="31">
        <f t="shared" si="11"/>
        <v>0</v>
      </c>
      <c r="AH122" s="31">
        <f t="shared" si="12"/>
        <v>0</v>
      </c>
      <c r="AI122" s="31">
        <f t="shared" si="13"/>
        <v>0</v>
      </c>
      <c r="AJ122" s="31">
        <f t="shared" si="14"/>
        <v>0</v>
      </c>
      <c r="AK122" s="31">
        <f>IF(AK25=K25,0,1)</f>
        <v>0</v>
      </c>
      <c r="AL122" s="31">
        <f>IF(AL25=L25,0,1)</f>
        <v>0</v>
      </c>
      <c r="AM122" s="31">
        <f t="shared" si="16"/>
        <v>0</v>
      </c>
      <c r="AN122" s="31">
        <f t="shared" si="17"/>
        <v>0</v>
      </c>
    </row>
    <row r="123" spans="29:40" x14ac:dyDescent="0.25">
      <c r="AC123" s="31"/>
      <c r="AD123" s="31">
        <f t="shared" si="8"/>
        <v>0</v>
      </c>
      <c r="AE123" s="31">
        <f t="shared" si="9"/>
        <v>0</v>
      </c>
      <c r="AF123" s="31">
        <f t="shared" si="10"/>
        <v>0</v>
      </c>
      <c r="AG123" s="31">
        <f t="shared" si="11"/>
        <v>0</v>
      </c>
      <c r="AH123" s="31">
        <f t="shared" si="12"/>
        <v>0</v>
      </c>
      <c r="AI123" s="31">
        <f t="shared" si="13"/>
        <v>0</v>
      </c>
      <c r="AJ123" s="31">
        <f t="shared" si="14"/>
        <v>0</v>
      </c>
      <c r="AK123" s="31">
        <f t="shared" ref="AK123:AK129" si="18">IF(AK26=K26,0,1)</f>
        <v>0</v>
      </c>
      <c r="AL123" s="31">
        <f t="shared" si="15"/>
        <v>0</v>
      </c>
      <c r="AM123" s="31">
        <f t="shared" si="16"/>
        <v>0</v>
      </c>
      <c r="AN123" s="31">
        <f t="shared" si="17"/>
        <v>0</v>
      </c>
    </row>
    <row r="124" spans="29:40" x14ac:dyDescent="0.25">
      <c r="AC124" s="31"/>
      <c r="AD124" s="31">
        <f t="shared" si="8"/>
        <v>0</v>
      </c>
      <c r="AE124" s="31">
        <f t="shared" si="9"/>
        <v>0</v>
      </c>
      <c r="AF124" s="31">
        <f t="shared" si="10"/>
        <v>0</v>
      </c>
      <c r="AG124" s="31">
        <f t="shared" si="11"/>
        <v>0</v>
      </c>
      <c r="AH124" s="31">
        <f t="shared" si="12"/>
        <v>0</v>
      </c>
      <c r="AI124" s="31">
        <f t="shared" si="13"/>
        <v>0</v>
      </c>
      <c r="AJ124" s="31">
        <f t="shared" si="14"/>
        <v>0</v>
      </c>
      <c r="AK124" s="31">
        <f t="shared" si="18"/>
        <v>0</v>
      </c>
      <c r="AL124" s="31">
        <f>IF(AL27=L27,0,1)</f>
        <v>0</v>
      </c>
      <c r="AM124" s="31">
        <f t="shared" si="16"/>
        <v>0</v>
      </c>
      <c r="AN124" s="31">
        <f>IF(AN27=N27,0,1)</f>
        <v>0</v>
      </c>
    </row>
    <row r="125" spans="29:40" x14ac:dyDescent="0.25">
      <c r="AC125" s="31"/>
      <c r="AD125" s="31">
        <f t="shared" si="8"/>
        <v>0</v>
      </c>
      <c r="AE125" s="31">
        <f t="shared" si="9"/>
        <v>0</v>
      </c>
      <c r="AF125" s="31">
        <f t="shared" si="10"/>
        <v>0</v>
      </c>
      <c r="AG125" s="31">
        <f t="shared" si="11"/>
        <v>0</v>
      </c>
      <c r="AH125" s="31">
        <f t="shared" si="12"/>
        <v>0</v>
      </c>
      <c r="AI125" s="31">
        <f t="shared" si="13"/>
        <v>0</v>
      </c>
      <c r="AJ125" s="31">
        <f t="shared" si="14"/>
        <v>0</v>
      </c>
      <c r="AK125" s="31">
        <f t="shared" si="18"/>
        <v>0</v>
      </c>
      <c r="AL125" s="31">
        <f t="shared" si="15"/>
        <v>0</v>
      </c>
      <c r="AM125" s="31">
        <f t="shared" si="16"/>
        <v>0</v>
      </c>
      <c r="AN125" s="31">
        <f>IF(AN28=N28,0,1)</f>
        <v>0</v>
      </c>
    </row>
    <row r="126" spans="29:40" x14ac:dyDescent="0.25">
      <c r="AC126" s="31"/>
      <c r="AD126" s="31">
        <f t="shared" si="8"/>
        <v>0</v>
      </c>
      <c r="AE126" s="31">
        <f t="shared" si="9"/>
        <v>0</v>
      </c>
      <c r="AF126" s="31">
        <f t="shared" si="10"/>
        <v>0</v>
      </c>
      <c r="AG126" s="31">
        <f t="shared" si="11"/>
        <v>0</v>
      </c>
      <c r="AH126" s="31">
        <f t="shared" si="12"/>
        <v>0</v>
      </c>
      <c r="AI126" s="31">
        <f t="shared" si="13"/>
        <v>0</v>
      </c>
      <c r="AJ126" s="31">
        <f t="shared" si="14"/>
        <v>0</v>
      </c>
      <c r="AK126" s="31">
        <f>IF(AK29=K29,0,1)</f>
        <v>0</v>
      </c>
      <c r="AL126" s="31">
        <f t="shared" si="15"/>
        <v>0</v>
      </c>
      <c r="AM126" s="31">
        <f t="shared" si="16"/>
        <v>0</v>
      </c>
      <c r="AN126" s="31">
        <f t="shared" si="17"/>
        <v>0</v>
      </c>
    </row>
    <row r="127" spans="29:40" x14ac:dyDescent="0.25">
      <c r="AC127" s="31"/>
      <c r="AD127" s="31">
        <f t="shared" si="8"/>
        <v>0</v>
      </c>
      <c r="AE127" s="31">
        <f t="shared" si="9"/>
        <v>0</v>
      </c>
      <c r="AF127" s="31">
        <f t="shared" si="10"/>
        <v>0</v>
      </c>
      <c r="AG127" s="31">
        <f t="shared" si="11"/>
        <v>0</v>
      </c>
      <c r="AH127" s="31">
        <f t="shared" si="12"/>
        <v>0</v>
      </c>
      <c r="AI127" s="31">
        <f t="shared" si="13"/>
        <v>0</v>
      </c>
      <c r="AJ127" s="31">
        <f t="shared" si="14"/>
        <v>0</v>
      </c>
      <c r="AK127" s="31">
        <f>IF(AK30=K30,0,1)</f>
        <v>0</v>
      </c>
      <c r="AL127" s="31">
        <f t="shared" si="15"/>
        <v>0</v>
      </c>
      <c r="AM127" s="31">
        <f t="shared" si="16"/>
        <v>0</v>
      </c>
      <c r="AN127" s="31">
        <f t="shared" si="17"/>
        <v>0</v>
      </c>
    </row>
    <row r="128" spans="29:40" x14ac:dyDescent="0.25">
      <c r="AC128" s="31"/>
      <c r="AD128" s="31">
        <f t="shared" si="8"/>
        <v>0</v>
      </c>
      <c r="AE128" s="31">
        <f t="shared" si="9"/>
        <v>0</v>
      </c>
      <c r="AF128" s="31">
        <f t="shared" si="10"/>
        <v>0</v>
      </c>
      <c r="AG128" s="31">
        <f t="shared" si="11"/>
        <v>0</v>
      </c>
      <c r="AH128" s="31">
        <f t="shared" si="12"/>
        <v>0</v>
      </c>
      <c r="AI128" s="31">
        <f t="shared" si="13"/>
        <v>0</v>
      </c>
      <c r="AJ128" s="31">
        <f t="shared" si="14"/>
        <v>0</v>
      </c>
      <c r="AK128" s="31">
        <f t="shared" si="18"/>
        <v>0</v>
      </c>
      <c r="AL128" s="31">
        <f t="shared" si="15"/>
        <v>0</v>
      </c>
      <c r="AM128" s="31">
        <f t="shared" si="16"/>
        <v>0</v>
      </c>
      <c r="AN128" s="31">
        <f t="shared" si="17"/>
        <v>0</v>
      </c>
    </row>
    <row r="129" spans="29:40" x14ac:dyDescent="0.25">
      <c r="AC129" s="31"/>
      <c r="AD129" s="31">
        <f t="shared" si="8"/>
        <v>0</v>
      </c>
      <c r="AE129" s="31">
        <f t="shared" si="9"/>
        <v>0</v>
      </c>
      <c r="AF129" s="31">
        <f t="shared" si="10"/>
        <v>0</v>
      </c>
      <c r="AG129" s="31">
        <f t="shared" si="11"/>
        <v>0</v>
      </c>
      <c r="AH129" s="31">
        <f t="shared" si="12"/>
        <v>0</v>
      </c>
      <c r="AI129" s="31">
        <f t="shared" si="13"/>
        <v>0</v>
      </c>
      <c r="AJ129" s="31">
        <f t="shared" si="14"/>
        <v>0</v>
      </c>
      <c r="AK129" s="31">
        <f t="shared" si="18"/>
        <v>0</v>
      </c>
      <c r="AL129" s="31">
        <f t="shared" si="15"/>
        <v>0</v>
      </c>
      <c r="AM129" s="31">
        <f t="shared" si="16"/>
        <v>0</v>
      </c>
      <c r="AN129" s="31">
        <f t="shared" si="17"/>
        <v>0</v>
      </c>
    </row>
    <row r="130" spans="29:40" x14ac:dyDescent="0.25">
      <c r="AC130" s="31"/>
    </row>
    <row r="131" spans="29:40" x14ac:dyDescent="0.25">
      <c r="AC131" s="31"/>
    </row>
  </sheetData>
  <sheetProtection password="D99C" sheet="1" selectLockedCells="1"/>
  <mergeCells count="21">
    <mergeCell ref="K1:O1"/>
    <mergeCell ref="D10:D11"/>
    <mergeCell ref="K10:L10"/>
    <mergeCell ref="G10:J10"/>
    <mergeCell ref="E10:F10"/>
    <mergeCell ref="I11:J11"/>
    <mergeCell ref="M10:N10"/>
    <mergeCell ref="C6:O6"/>
    <mergeCell ref="AK10:AL10"/>
    <mergeCell ref="C8:O8"/>
    <mergeCell ref="AD10:AD11"/>
    <mergeCell ref="G11:H11"/>
    <mergeCell ref="AC6:AO6"/>
    <mergeCell ref="AC7:AO7"/>
    <mergeCell ref="AC8:AO8"/>
    <mergeCell ref="AG11:AH11"/>
    <mergeCell ref="AI11:AJ11"/>
    <mergeCell ref="AM10:AN10"/>
    <mergeCell ref="C7:O7"/>
    <mergeCell ref="AG10:AJ10"/>
    <mergeCell ref="AE10:AF10"/>
  </mergeCells>
  <phoneticPr fontId="2" type="noConversion"/>
  <conditionalFormatting sqref="AC6:AO8 AE12 G31:N32 D29 E12:N30 AG12:AN27 AG29:AN30">
    <cfRule type="cellIs" dxfId="0" priority="1" stopIfTrue="1" operator="notEqual">
      <formula>AD6</formula>
    </cfRule>
  </conditionalFormatting>
  <pageMargins left="0.75" right="0.75" top="0.75" bottom="0.75" header="0.5" footer="0.5"/>
  <pageSetup scale="74"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E0067B-C7EB-4E85-9E6B-624D0BD1FE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A34BF5-E577-4314-877F-BA6301DCD50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d758baea-510e-4597-bb40-a09e4fc0f415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d5bf7610-0a90-45dc-b926-1b234e6c6756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011A69E-94A3-4708-A48B-3E90A45499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P6-1 thru P 6-3</vt:lpstr>
    </vt:vector>
  </TitlesOfParts>
  <Company>Mississippi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Mark Lehman</dc:creator>
  <cp:lastModifiedBy>PATIL, DHRUV</cp:lastModifiedBy>
  <cp:lastPrinted>2012-06-14T17:35:58Z</cp:lastPrinted>
  <dcterms:created xsi:type="dcterms:W3CDTF">2004-10-24T02:24:27Z</dcterms:created>
  <dcterms:modified xsi:type="dcterms:W3CDTF">2023-11-16T23:31:42Z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10800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