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0/"/>
    </mc:Choice>
  </mc:AlternateContent>
  <xr:revisionPtr revIDLastSave="212" documentId="8_{D883E85C-F031-4368-980B-AA7D9FB06BB7}" xr6:coauthVersionLast="47" xr6:coauthVersionMax="47" xr10:uidLastSave="{1CAF36CF-6D64-422E-9E6B-DA77DC55ED35}"/>
  <bookViews>
    <workbookView xWindow="-110" yWindow="-110" windowWidth="19420" windowHeight="10420" xr2:uid="{00000000-000D-0000-FFFF-FFFF00000000}"/>
  </bookViews>
  <sheets>
    <sheet name="10-1 - 10-4 AR Led own" sheetId="18" r:id="rId1"/>
    <sheet name="10-1 - 10-4 SJ&amp;CR Jrnl own" sheetId="10" r:id="rId2"/>
    <sheet name="10-1 - 10-4 GL own" sheetId="15" r:id="rId3"/>
  </sheets>
  <externalReferences>
    <externalReference r:id="rId4"/>
  </externalReferences>
  <definedNames>
    <definedName name="answer2" localSheetId="0">#REF!,#REF!,#REF!,#REF!,#REF!,#REF!,#REF!</definedName>
    <definedName name="answer2" localSheetId="2">#REF!,#REF!,#REF!,#REF!,#REF!,#REF!,#REF!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 localSheetId="2">#REF!,#REF!,#REF!,#REF!,#REF!,#REF!,#REF!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0" l="1"/>
  <c r="G10" i="10"/>
  <c r="Q24" i="10"/>
  <c r="P27" i="10"/>
  <c r="Q27" i="10"/>
  <c r="P26" i="10"/>
  <c r="H20" i="15"/>
  <c r="H11" i="15"/>
  <c r="F45" i="18"/>
  <c r="X25" i="10"/>
  <c r="X24" i="10"/>
  <c r="H46" i="15"/>
  <c r="I29" i="15"/>
  <c r="I38" i="15"/>
  <c r="X22" i="10"/>
  <c r="X21" i="10"/>
  <c r="P25" i="10"/>
  <c r="Q23" i="10"/>
  <c r="Q22" i="10"/>
  <c r="Q21" i="10"/>
  <c r="P20" i="10"/>
  <c r="X15" i="10"/>
  <c r="W15" i="10"/>
  <c r="V15" i="10"/>
  <c r="U15" i="10"/>
  <c r="T15" i="10"/>
  <c r="H33" i="18"/>
  <c r="H24" i="18"/>
  <c r="H13" i="18"/>
  <c r="X14" i="10" l="1"/>
  <c r="X13" i="10" l="1"/>
  <c r="X12" i="10"/>
  <c r="W12" i="10"/>
  <c r="X11" i="10"/>
  <c r="X10" i="10"/>
  <c r="W10" i="10"/>
  <c r="I28" i="15"/>
  <c r="I37" i="15"/>
  <c r="H19" i="15"/>
  <c r="E23" i="10"/>
  <c r="F23" i="10"/>
  <c r="I14" i="10"/>
  <c r="H14" i="10"/>
  <c r="G14" i="10"/>
  <c r="H23" i="18"/>
  <c r="H32" i="18"/>
  <c r="H22" i="18"/>
  <c r="H12" i="18"/>
  <c r="G13" i="10"/>
  <c r="I13" i="10"/>
  <c r="G11" i="10"/>
  <c r="I11" i="10"/>
  <c r="F1" i="10"/>
  <c r="Q1" i="10"/>
  <c r="F1" i="15"/>
  <c r="H10" i="15"/>
  <c r="A2" i="15"/>
  <c r="A1" i="15"/>
  <c r="L1" i="10" l="1"/>
  <c r="A2" i="10" l="1"/>
  <c r="L2" i="10" s="1"/>
  <c r="A1" i="10"/>
  <c r="Y11" i="10"/>
  <c r="Y12" i="10" s="1"/>
  <c r="Y13" i="10" s="1"/>
  <c r="Y14" i="10" s="1"/>
  <c r="Y15" i="10" s="1"/>
  <c r="Y16" i="10" s="1"/>
  <c r="L11" i="10"/>
  <c r="L12" i="10" s="1"/>
  <c r="L13" i="10" s="1"/>
  <c r="L14" i="10" s="1"/>
  <c r="L15" i="10" s="1"/>
  <c r="L16" i="10" s="1"/>
</calcChain>
</file>

<file path=xl/sharedStrings.xml><?xml version="1.0" encoding="utf-8"?>
<sst xmlns="http://schemas.openxmlformats.org/spreadsheetml/2006/main" count="253" uniqueCount="88">
  <si>
    <t>on your own 10-1 thru 10-4</t>
  </si>
  <si>
    <t>Name:</t>
  </si>
  <si>
    <t>Dhruv Patil</t>
  </si>
  <si>
    <t>page 289, 293, 301, 309</t>
  </si>
  <si>
    <t>Accounts Receivable Ledger</t>
  </si>
  <si>
    <t>CUSTOMER</t>
  </si>
  <si>
    <t>Kelly Diller</t>
  </si>
  <si>
    <t>CUSTOMER NO.</t>
  </si>
  <si>
    <t>POST.</t>
  </si>
  <si>
    <t>DEBIT</t>
  </si>
  <si>
    <t>DATE</t>
  </si>
  <si>
    <t>ITEM</t>
  </si>
  <si>
    <t>REF.</t>
  </si>
  <si>
    <t>CREDIT</t>
  </si>
  <si>
    <t>BALANCE</t>
  </si>
  <si>
    <t>June</t>
  </si>
  <si>
    <t>Balance</t>
  </si>
  <si>
    <t>P</t>
  </si>
  <si>
    <t>S6</t>
  </si>
  <si>
    <t>CR6</t>
  </si>
  <si>
    <t>FJT Plumbing</t>
  </si>
  <si>
    <t>Roberts College</t>
  </si>
  <si>
    <t>Jhonston Supplies</t>
  </si>
  <si>
    <t>Schedule of Accounts Recivable</t>
  </si>
  <si>
    <t>Total of Accounts Recivable</t>
  </si>
  <si>
    <t>Match General Ledger</t>
  </si>
  <si>
    <t>`</t>
  </si>
  <si>
    <t>SALES JOURNAL</t>
  </si>
  <si>
    <t>PAGE</t>
  </si>
  <si>
    <t xml:space="preserve">                                                             </t>
  </si>
  <si>
    <t>CASH RECEIPTS JOURNAL</t>
  </si>
  <si>
    <t>ACCOUNTS</t>
  </si>
  <si>
    <t>SALES TAX</t>
  </si>
  <si>
    <t>SALES</t>
  </si>
  <si>
    <t>SALE</t>
  </si>
  <si>
    <t>RECEIVABLE</t>
  </si>
  <si>
    <t>PAYABLE</t>
  </si>
  <si>
    <t>DOC.</t>
  </si>
  <si>
    <t>GENERAL</t>
  </si>
  <si>
    <t>DISCOUNT</t>
  </si>
  <si>
    <t>CASH</t>
  </si>
  <si>
    <t>ACCOUNT DEBITED</t>
  </si>
  <si>
    <t>NO.</t>
  </si>
  <si>
    <t>ACCOUNT TITLE</t>
  </si>
  <si>
    <t>S340</t>
  </si>
  <si>
    <t>R408</t>
  </si>
  <si>
    <t>S341</t>
  </si>
  <si>
    <t>ü</t>
  </si>
  <si>
    <t>TS23</t>
  </si>
  <si>
    <t>S342</t>
  </si>
  <si>
    <t>R409</t>
  </si>
  <si>
    <t>S343</t>
  </si>
  <si>
    <t>R410</t>
  </si>
  <si>
    <t>Totals</t>
  </si>
  <si>
    <t>TS24</t>
  </si>
  <si>
    <t>(1130)</t>
  </si>
  <si>
    <t>(4110)</t>
  </si>
  <si>
    <t>(2120)</t>
  </si>
  <si>
    <t xml:space="preserve">Totals </t>
  </si>
  <si>
    <t>(4120)</t>
  </si>
  <si>
    <t>(1110)</t>
  </si>
  <si>
    <t>Col</t>
  </si>
  <si>
    <t>No.</t>
  </si>
  <si>
    <t>Column Title</t>
  </si>
  <si>
    <t>Cash Proof</t>
  </si>
  <si>
    <t>A/R Debit</t>
  </si>
  <si>
    <t>General Debit</t>
  </si>
  <si>
    <t>Cash on hand at the beginning of the month</t>
  </si>
  <si>
    <t>General Ledger</t>
  </si>
  <si>
    <t>Sales Credit</t>
  </si>
  <si>
    <t>General Credit</t>
  </si>
  <si>
    <r>
      <t xml:space="preserve">Plus </t>
    </r>
    <r>
      <rPr>
        <sz val="12"/>
        <rFont val="Arial"/>
        <family val="2"/>
      </rPr>
      <t>total cash received during the month</t>
    </r>
  </si>
  <si>
    <t>Sales Tax Payable Credit</t>
  </si>
  <si>
    <t>A/R Credit</t>
  </si>
  <si>
    <r>
      <t>Equals</t>
    </r>
    <r>
      <rPr>
        <sz val="12"/>
        <rFont val="Arial"/>
        <family val="2"/>
      </rPr>
      <t xml:space="preserve"> total</t>
    </r>
  </si>
  <si>
    <r>
      <t xml:space="preserve">Less </t>
    </r>
    <r>
      <rPr>
        <sz val="12"/>
        <rFont val="Arial"/>
        <family val="2"/>
      </rPr>
      <t>total cash paid during the month</t>
    </r>
  </si>
  <si>
    <r>
      <t xml:space="preserve">Equals </t>
    </r>
    <r>
      <rPr>
        <sz val="12"/>
        <rFont val="Arial"/>
        <family val="2"/>
      </rPr>
      <t>cash balance on hand at end of month</t>
    </r>
  </si>
  <si>
    <t>Sales Discount Debit</t>
  </si>
  <si>
    <t>Checkbook balance on next unused check stub</t>
  </si>
  <si>
    <t>Cash Debit</t>
  </si>
  <si>
    <t>ACCOUNT</t>
  </si>
  <si>
    <t>Cash</t>
  </si>
  <si>
    <t>ACCOUNT NO.</t>
  </si>
  <si>
    <t>CP6</t>
  </si>
  <si>
    <t>Accounts Receivable</t>
  </si>
  <si>
    <t>Sales Tax Payable</t>
  </si>
  <si>
    <t>Sales</t>
  </si>
  <si>
    <t>Sales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</si>
</sst>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Wingdings 2"/>
      <family val="1"/>
      <charset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i/>
      <sz val="12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1"/>
      <name val="Wingdings"/>
      <charset val="2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7" fillId="0" borderId="0"/>
  </cellStyleXfs>
  <cellXfs count="176">
    <xf numFmtId="0" fontId="0" fillId="0" borderId="0" xfId="0"/>
    <xf numFmtId="0" fontId="3" fillId="0" borderId="0" xfId="0" applyFont="1"/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2" fillId="0" borderId="0" xfId="0" applyFont="1"/>
    <xf numFmtId="0" fontId="5" fillId="0" borderId="0" xfId="0" applyFont="1"/>
    <xf numFmtId="44" fontId="3" fillId="0" borderId="1" xfId="2" applyFont="1" applyBorder="1" applyAlignment="1">
      <alignment horizontal="centerContinuous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centerContinuous"/>
    </xf>
    <xf numFmtId="0" fontId="3" fillId="0" borderId="9" xfId="0" applyFont="1" applyBorder="1" applyAlignment="1">
      <alignment horizontal="centerContinuous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8" fillId="0" borderId="15" xfId="0" applyFont="1" applyBorder="1" applyAlignment="1" applyProtection="1">
      <alignment horizontal="center"/>
      <protection locked="0"/>
    </xf>
    <xf numFmtId="43" fontId="3" fillId="0" borderId="15" xfId="1" applyFont="1" applyBorder="1"/>
    <xf numFmtId="0" fontId="3" fillId="0" borderId="17" xfId="0" applyFont="1" applyBorder="1"/>
    <xf numFmtId="0" fontId="3" fillId="0" borderId="18" xfId="0" applyFont="1" applyBorder="1"/>
    <xf numFmtId="43" fontId="3" fillId="0" borderId="18" xfId="1" applyFont="1" applyBorder="1"/>
    <xf numFmtId="0" fontId="3" fillId="0" borderId="19" xfId="0" applyFont="1" applyBorder="1"/>
    <xf numFmtId="0" fontId="3" fillId="0" borderId="1" xfId="0" applyFont="1" applyBorder="1" applyAlignment="1">
      <alignment horizontal="centerContinuous"/>
    </xf>
    <xf numFmtId="16" fontId="3" fillId="0" borderId="14" xfId="0" applyNumberFormat="1" applyFont="1" applyBorder="1"/>
    <xf numFmtId="43" fontId="2" fillId="0" borderId="0" xfId="0" applyNumberFormat="1" applyFont="1"/>
    <xf numFmtId="0" fontId="9" fillId="0" borderId="2" xfId="0" applyFont="1" applyBorder="1" applyAlignment="1">
      <alignment horizontal="center"/>
    </xf>
    <xf numFmtId="0" fontId="10" fillId="0" borderId="3" xfId="0" applyFont="1" applyBorder="1"/>
    <xf numFmtId="0" fontId="10" fillId="0" borderId="4" xfId="0" applyFont="1" applyBorder="1"/>
    <xf numFmtId="0" fontId="10" fillId="0" borderId="7" xfId="0" applyFont="1" applyBorder="1"/>
    <xf numFmtId="0" fontId="10" fillId="0" borderId="8" xfId="0" applyFont="1" applyBorder="1"/>
    <xf numFmtId="0" fontId="9" fillId="0" borderId="19" xfId="0" applyFont="1" applyBorder="1"/>
    <xf numFmtId="0" fontId="3" fillId="0" borderId="18" xfId="0" applyFont="1" applyBorder="1" applyAlignment="1">
      <alignment horizontal="center"/>
    </xf>
    <xf numFmtId="0" fontId="9" fillId="0" borderId="20" xfId="0" applyFont="1" applyBorder="1" applyAlignment="1">
      <alignment horizontal="left"/>
    </xf>
    <xf numFmtId="0" fontId="9" fillId="0" borderId="13" xfId="0" applyFont="1" applyBorder="1"/>
    <xf numFmtId="0" fontId="11" fillId="0" borderId="1" xfId="0" applyFont="1" applyBorder="1" applyAlignment="1">
      <alignment horizontal="center"/>
    </xf>
    <xf numFmtId="0" fontId="9" fillId="0" borderId="2" xfId="0" applyFont="1" applyBorder="1"/>
    <xf numFmtId="0" fontId="9" fillId="0" borderId="0" xfId="0" applyFont="1" applyAlignment="1">
      <alignment horizontal="center"/>
    </xf>
    <xf numFmtId="0" fontId="10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2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Continuous" vertical="center"/>
    </xf>
    <xf numFmtId="0" fontId="2" fillId="0" borderId="1" xfId="0" applyFont="1" applyBorder="1" applyAlignment="1">
      <alignment horizontal="centerContinuous" vertical="center"/>
    </xf>
    <xf numFmtId="0" fontId="2" fillId="0" borderId="25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Continuous"/>
    </xf>
    <xf numFmtId="0" fontId="2" fillId="0" borderId="1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9" fillId="0" borderId="16" xfId="0" applyFont="1" applyBorder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center"/>
      <protection locked="0"/>
    </xf>
    <xf numFmtId="0" fontId="14" fillId="0" borderId="0" xfId="0" applyFont="1"/>
    <xf numFmtId="0" fontId="3" fillId="0" borderId="15" xfId="0" applyFont="1" applyBorder="1" applyAlignment="1">
      <alignment horizontal="center"/>
    </xf>
    <xf numFmtId="43" fontId="3" fillId="0" borderId="15" xfId="3" applyFont="1" applyBorder="1"/>
    <xf numFmtId="43" fontId="3" fillId="0" borderId="18" xfId="3" applyFont="1" applyBorder="1"/>
    <xf numFmtId="43" fontId="3" fillId="0" borderId="36" xfId="3" applyFont="1" applyBorder="1"/>
    <xf numFmtId="43" fontId="3" fillId="0" borderId="37" xfId="3" applyFont="1" applyBorder="1"/>
    <xf numFmtId="0" fontId="13" fillId="0" borderId="0" xfId="0" applyFont="1"/>
    <xf numFmtId="43" fontId="11" fillId="0" borderId="1" xfId="3" applyFont="1" applyBorder="1"/>
    <xf numFmtId="0" fontId="15" fillId="0" borderId="0" xfId="0" applyFont="1"/>
    <xf numFmtId="43" fontId="11" fillId="0" borderId="9" xfId="3" applyFont="1" applyBorder="1"/>
    <xf numFmtId="43" fontId="3" fillId="0" borderId="40" xfId="3" applyFont="1" applyBorder="1"/>
    <xf numFmtId="43" fontId="3" fillId="0" borderId="41" xfId="3" applyFont="1" applyBorder="1"/>
    <xf numFmtId="43" fontId="3" fillId="0" borderId="42" xfId="3" applyFont="1" applyBorder="1"/>
    <xf numFmtId="0" fontId="3" fillId="0" borderId="0" xfId="4" applyFont="1"/>
    <xf numFmtId="0" fontId="3" fillId="0" borderId="0" xfId="4" applyFont="1" applyAlignment="1">
      <alignment horizontal="right"/>
    </xf>
    <xf numFmtId="0" fontId="3" fillId="0" borderId="1" xfId="4" applyFont="1" applyBorder="1"/>
    <xf numFmtId="0" fontId="6" fillId="0" borderId="0" xfId="4" applyFont="1"/>
    <xf numFmtId="0" fontId="16" fillId="0" borderId="15" xfId="4" applyFont="1" applyBorder="1" applyAlignment="1" applyProtection="1">
      <alignment horizontal="center"/>
      <protection locked="0"/>
    </xf>
    <xf numFmtId="0" fontId="17" fillId="0" borderId="0" xfId="4" applyFont="1"/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Continuous"/>
    </xf>
    <xf numFmtId="0" fontId="9" fillId="0" borderId="0" xfId="0" applyFont="1" applyAlignment="1">
      <alignment horizontal="left"/>
    </xf>
    <xf numFmtId="49" fontId="13" fillId="0" borderId="15" xfId="3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11" fillId="0" borderId="14" xfId="0" applyFont="1" applyBorder="1" applyProtection="1">
      <protection locked="0"/>
    </xf>
    <xf numFmtId="0" fontId="11" fillId="0" borderId="15" xfId="0" applyFont="1" applyBorder="1" applyProtection="1">
      <protection locked="0"/>
    </xf>
    <xf numFmtId="0" fontId="11" fillId="0" borderId="15" xfId="0" applyFont="1" applyBorder="1" applyAlignment="1" applyProtection="1">
      <alignment horizontal="center"/>
      <protection locked="0"/>
    </xf>
    <xf numFmtId="0" fontId="18" fillId="0" borderId="18" xfId="0" applyFont="1" applyBorder="1" applyAlignment="1" applyProtection="1">
      <alignment horizontal="left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8" xfId="0" applyFont="1" applyBorder="1" applyProtection="1">
      <protection locked="0"/>
    </xf>
    <xf numFmtId="0" fontId="11" fillId="0" borderId="15" xfId="4" applyFont="1" applyBorder="1" applyAlignment="1" applyProtection="1">
      <alignment horizontal="center"/>
      <protection locked="0"/>
    </xf>
    <xf numFmtId="43" fontId="11" fillId="0" borderId="18" xfId="3" applyFont="1" applyBorder="1" applyProtection="1"/>
    <xf numFmtId="43" fontId="11" fillId="0" borderId="18" xfId="3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/>
    <xf numFmtId="44" fontId="1" fillId="0" borderId="1" xfId="2" applyFont="1" applyBorder="1" applyAlignment="1">
      <alignment horizontal="centerContinuous"/>
    </xf>
    <xf numFmtId="0" fontId="3" fillId="0" borderId="8" xfId="0" applyFont="1" applyBorder="1"/>
    <xf numFmtId="0" fontId="3" fillId="0" borderId="16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3" fillId="0" borderId="9" xfId="0" applyFont="1" applyBorder="1"/>
    <xf numFmtId="43" fontId="3" fillId="0" borderId="0" xfId="1" applyFont="1"/>
    <xf numFmtId="43" fontId="3" fillId="0" borderId="34" xfId="1" applyFont="1" applyBorder="1"/>
    <xf numFmtId="43" fontId="3" fillId="0" borderId="0" xfId="1" applyFont="1" applyBorder="1"/>
    <xf numFmtId="0" fontId="3" fillId="0" borderId="0" xfId="0" applyFont="1" applyProtection="1">
      <protection locked="0"/>
    </xf>
    <xf numFmtId="0" fontId="3" fillId="0" borderId="1" xfId="0" applyFont="1" applyBorder="1" applyAlignment="1">
      <alignment horizontal="left"/>
    </xf>
    <xf numFmtId="0" fontId="1" fillId="0" borderId="0" xfId="0" applyFont="1"/>
    <xf numFmtId="0" fontId="3" fillId="0" borderId="2" xfId="0" applyFont="1" applyBorder="1" applyAlignment="1">
      <alignment horizontal="left"/>
    </xf>
    <xf numFmtId="0" fontId="3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 vertical="center"/>
    </xf>
    <xf numFmtId="43" fontId="11" fillId="0" borderId="15" xfId="3" applyFont="1" applyBorder="1" applyProtection="1">
      <protection locked="0"/>
    </xf>
    <xf numFmtId="43" fontId="11" fillId="0" borderId="29" xfId="3" applyFont="1" applyBorder="1" applyProtection="1">
      <protection locked="0"/>
    </xf>
    <xf numFmtId="0" fontId="11" fillId="0" borderId="17" xfId="0" applyFont="1" applyBorder="1" applyProtection="1">
      <protection locked="0"/>
    </xf>
    <xf numFmtId="43" fontId="11" fillId="0" borderId="18" xfId="3" applyFont="1" applyBorder="1" applyProtection="1">
      <protection locked="0"/>
    </xf>
    <xf numFmtId="43" fontId="11" fillId="0" borderId="28" xfId="3" applyFont="1" applyBorder="1" applyProtection="1">
      <protection locked="0"/>
    </xf>
    <xf numFmtId="0" fontId="11" fillId="0" borderId="35" xfId="0" applyFont="1" applyBorder="1" applyProtection="1">
      <protection locked="0"/>
    </xf>
    <xf numFmtId="43" fontId="11" fillId="0" borderId="33" xfId="3" applyFont="1" applyBorder="1" applyProtection="1">
      <protection locked="0"/>
    </xf>
    <xf numFmtId="43" fontId="11" fillId="0" borderId="36" xfId="3" applyFont="1" applyBorder="1" applyProtection="1">
      <protection locked="0"/>
    </xf>
    <xf numFmtId="43" fontId="11" fillId="0" borderId="37" xfId="3" applyFont="1" applyBorder="1" applyProtection="1">
      <protection locked="0"/>
    </xf>
    <xf numFmtId="49" fontId="4" fillId="0" borderId="15" xfId="3" applyNumberFormat="1" applyFont="1" applyBorder="1" applyAlignment="1">
      <alignment horizontal="center"/>
    </xf>
    <xf numFmtId="0" fontId="11" fillId="0" borderId="18" xfId="0" applyFont="1" applyBorder="1" applyAlignment="1" applyProtection="1">
      <alignment horizontal="right"/>
      <protection locked="0"/>
    </xf>
    <xf numFmtId="43" fontId="11" fillId="0" borderId="38" xfId="3" applyFont="1" applyBorder="1" applyProtection="1">
      <protection locked="0"/>
    </xf>
    <xf numFmtId="43" fontId="11" fillId="0" borderId="39" xfId="3" applyFont="1" applyBorder="1" applyProtection="1">
      <protection locked="0"/>
    </xf>
    <xf numFmtId="0" fontId="11" fillId="0" borderId="0" xfId="0" applyFont="1"/>
    <xf numFmtId="0" fontId="11" fillId="0" borderId="0" xfId="0" applyFont="1" applyAlignment="1">
      <alignment horizontal="center"/>
    </xf>
    <xf numFmtId="43" fontId="11" fillId="0" borderId="0" xfId="3" applyFont="1"/>
    <xf numFmtId="0" fontId="3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/>
      <protection locked="0"/>
    </xf>
    <xf numFmtId="43" fontId="11" fillId="0" borderId="0" xfId="3" applyFont="1" applyBorder="1" applyProtection="1">
      <protection locked="0"/>
    </xf>
    <xf numFmtId="0" fontId="11" fillId="0" borderId="0" xfId="0" applyFont="1" applyAlignment="1" applyProtection="1">
      <alignment horizontal="left" indent="1"/>
      <protection locked="0"/>
    </xf>
    <xf numFmtId="0" fontId="4" fillId="0" borderId="1" xfId="4" applyFont="1" applyBorder="1"/>
    <xf numFmtId="0" fontId="2" fillId="0" borderId="0" xfId="4" applyFont="1"/>
    <xf numFmtId="0" fontId="2" fillId="0" borderId="1" xfId="4" applyFont="1" applyBorder="1" applyAlignment="1">
      <alignment horizontal="right"/>
    </xf>
    <xf numFmtId="0" fontId="11" fillId="0" borderId="0" xfId="4" applyFont="1"/>
    <xf numFmtId="0" fontId="2" fillId="0" borderId="2" xfId="4" applyFont="1" applyBorder="1"/>
    <xf numFmtId="0" fontId="10" fillId="0" borderId="3" xfId="4" applyFont="1" applyBorder="1"/>
    <xf numFmtId="0" fontId="2" fillId="0" borderId="4" xfId="4" applyFont="1" applyBorder="1"/>
    <xf numFmtId="0" fontId="2" fillId="0" borderId="5" xfId="4" applyFont="1" applyBorder="1" applyAlignment="1">
      <alignment horizontal="center"/>
    </xf>
    <xf numFmtId="0" fontId="2" fillId="0" borderId="1" xfId="4" applyFont="1" applyBorder="1" applyAlignment="1">
      <alignment horizontal="centerContinuous"/>
    </xf>
    <xf numFmtId="0" fontId="2" fillId="0" borderId="13" xfId="4" applyFont="1" applyBorder="1" applyAlignment="1">
      <alignment horizontal="centerContinuous"/>
    </xf>
    <xf numFmtId="0" fontId="10" fillId="0" borderId="4" xfId="4" applyFont="1" applyBorder="1"/>
    <xf numFmtId="0" fontId="10" fillId="0" borderId="7" xfId="4" applyFont="1" applyBorder="1"/>
    <xf numFmtId="0" fontId="2" fillId="0" borderId="8" xfId="4" applyFont="1" applyBorder="1" applyAlignment="1">
      <alignment horizontal="centerContinuous"/>
    </xf>
    <xf numFmtId="0" fontId="2" fillId="0" borderId="9" xfId="4" applyFont="1" applyBorder="1" applyAlignment="1">
      <alignment horizontal="centerContinuous"/>
    </xf>
    <xf numFmtId="0" fontId="2" fillId="0" borderId="10" xfId="4" applyFont="1" applyBorder="1" applyAlignment="1">
      <alignment horizontal="center"/>
    </xf>
    <xf numFmtId="0" fontId="10" fillId="0" borderId="8" xfId="4" applyFont="1" applyBorder="1"/>
    <xf numFmtId="0" fontId="9" fillId="0" borderId="13" xfId="4" applyFont="1" applyBorder="1"/>
    <xf numFmtId="0" fontId="11" fillId="0" borderId="14" xfId="4" applyFont="1" applyBorder="1" applyProtection="1">
      <protection locked="0"/>
    </xf>
    <xf numFmtId="0" fontId="11" fillId="0" borderId="15" xfId="4" applyFont="1" applyBorder="1" applyProtection="1">
      <protection locked="0"/>
    </xf>
    <xf numFmtId="0" fontId="9" fillId="0" borderId="16" xfId="4" applyFont="1" applyBorder="1" applyAlignment="1">
      <alignment horizontal="left"/>
    </xf>
    <xf numFmtId="0" fontId="9" fillId="0" borderId="19" xfId="4" applyFont="1" applyBorder="1"/>
    <xf numFmtId="0" fontId="11" fillId="0" borderId="17" xfId="4" applyFont="1" applyBorder="1" applyProtection="1">
      <protection locked="0"/>
    </xf>
    <xf numFmtId="0" fontId="11" fillId="0" borderId="18" xfId="4" applyFont="1" applyBorder="1" applyAlignment="1" applyProtection="1">
      <alignment horizontal="center"/>
      <protection locked="0"/>
    </xf>
    <xf numFmtId="0" fontId="9" fillId="0" borderId="20" xfId="4" applyFont="1" applyBorder="1" applyAlignment="1">
      <alignment horizontal="left"/>
    </xf>
    <xf numFmtId="0" fontId="11" fillId="0" borderId="17" xfId="4" applyFont="1" applyBorder="1"/>
    <xf numFmtId="0" fontId="11" fillId="0" borderId="18" xfId="4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0" fontId="3" fillId="0" borderId="23" xfId="0" applyFont="1" applyBorder="1" applyAlignment="1">
      <alignment horizontal="left"/>
    </xf>
    <xf numFmtId="0" fontId="4" fillId="0" borderId="0" xfId="0" applyFont="1" applyAlignment="1">
      <alignment horizontal="center"/>
    </xf>
  </cellXfs>
  <cellStyles count="5">
    <cellStyle name="Comma" xfId="1" builtinId="3"/>
    <cellStyle name="Comma 2" xfId="3" xr:uid="{00000000-0005-0000-0000-000001000000}"/>
    <cellStyle name="Currency" xfId="2" builtinId="4"/>
    <cellStyle name="Normal" xfId="0" builtinId="0"/>
    <cellStyle name="Normal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6"/>
  <sheetViews>
    <sheetView tabSelected="1" topLeftCell="A21" zoomScale="70" zoomScaleNormal="70" workbookViewId="0">
      <selection activeCell="H15" sqref="H15"/>
    </sheetView>
  </sheetViews>
  <sheetFormatPr defaultColWidth="9.1796875" defaultRowHeight="10" x14ac:dyDescent="0.2"/>
  <cols>
    <col min="1" max="1" width="1.453125" style="4" customWidth="1"/>
    <col min="2" max="2" width="5.54296875" style="4" customWidth="1"/>
    <col min="3" max="3" width="3.54296875" style="4" customWidth="1"/>
    <col min="4" max="4" width="36.54296875" style="4" customWidth="1"/>
    <col min="5" max="5" width="8.1796875" style="4" bestFit="1" customWidth="1"/>
    <col min="6" max="6" width="12.26953125" style="4" bestFit="1" customWidth="1"/>
    <col min="7" max="7" width="15.7265625" style="4" bestFit="1" customWidth="1"/>
    <col min="8" max="8" width="12.26953125" style="4" bestFit="1" customWidth="1"/>
    <col min="9" max="9" width="1.453125" style="4" customWidth="1"/>
    <col min="10" max="16384" width="9.1796875" style="4"/>
  </cols>
  <sheetData>
    <row r="1" spans="1:9" ht="15.5" x14ac:dyDescent="0.35">
      <c r="A1" s="1" t="s">
        <v>0</v>
      </c>
      <c r="B1" s="1"/>
      <c r="C1" s="1"/>
      <c r="D1" s="1"/>
      <c r="E1" s="106" t="s">
        <v>1</v>
      </c>
      <c r="F1" s="2" t="s">
        <v>2</v>
      </c>
      <c r="G1" s="3"/>
    </row>
    <row r="2" spans="1:9" ht="15.5" x14ac:dyDescent="0.35">
      <c r="A2" s="1" t="s">
        <v>3</v>
      </c>
      <c r="B2" s="1"/>
      <c r="C2" s="1"/>
      <c r="D2" s="1"/>
      <c r="E2" s="1"/>
      <c r="F2" s="1"/>
      <c r="G2" s="107"/>
    </row>
    <row r="3" spans="1:9" ht="20" x14ac:dyDescent="0.4">
      <c r="A3" s="1"/>
      <c r="B3" s="1"/>
      <c r="C3" s="1"/>
      <c r="D3" s="5"/>
      <c r="E3" s="70"/>
      <c r="F3" s="1"/>
      <c r="G3" s="107"/>
    </row>
    <row r="4" spans="1:9" ht="15.5" x14ac:dyDescent="0.35">
      <c r="D4" s="107" t="s">
        <v>4</v>
      </c>
    </row>
    <row r="6" spans="1:9" ht="12.75" customHeight="1" x14ac:dyDescent="0.35">
      <c r="A6" s="108" t="s">
        <v>5</v>
      </c>
      <c r="B6" s="6"/>
      <c r="C6" s="6"/>
      <c r="D6" s="1" t="s">
        <v>6</v>
      </c>
      <c r="E6" s="1"/>
      <c r="F6" s="1"/>
      <c r="G6" s="7" t="s">
        <v>7</v>
      </c>
      <c r="H6" s="1">
        <v>110</v>
      </c>
      <c r="I6" s="1"/>
    </row>
    <row r="7" spans="1:9" ht="5.15" customHeight="1" thickBot="1" x14ac:dyDescent="0.4">
      <c r="A7" s="8"/>
      <c r="B7" s="8"/>
      <c r="C7" s="8"/>
      <c r="D7" s="8"/>
      <c r="E7" s="8"/>
      <c r="F7" s="8"/>
      <c r="G7" s="8"/>
      <c r="H7" s="8"/>
      <c r="I7" s="8"/>
    </row>
    <row r="8" spans="1:9" ht="13" customHeight="1" thickTop="1" x14ac:dyDescent="0.35">
      <c r="A8" s="9"/>
      <c r="B8" s="10"/>
      <c r="C8" s="1"/>
      <c r="D8" s="11"/>
      <c r="E8" s="11" t="s">
        <v>8</v>
      </c>
      <c r="F8" s="11"/>
      <c r="G8" s="11"/>
      <c r="H8" s="12" t="s">
        <v>9</v>
      </c>
      <c r="I8" s="10"/>
    </row>
    <row r="9" spans="1:9" ht="13" customHeight="1" thickBot="1" x14ac:dyDescent="0.4">
      <c r="A9" s="13"/>
      <c r="B9" s="14" t="s">
        <v>10</v>
      </c>
      <c r="C9" s="15"/>
      <c r="D9" s="16" t="s">
        <v>11</v>
      </c>
      <c r="E9" s="16" t="s">
        <v>12</v>
      </c>
      <c r="F9" s="16" t="s">
        <v>9</v>
      </c>
      <c r="G9" s="16" t="s">
        <v>13</v>
      </c>
      <c r="H9" s="16" t="s">
        <v>14</v>
      </c>
      <c r="I9" s="109"/>
    </row>
    <row r="10" spans="1:9" ht="9" customHeight="1" thickTop="1" x14ac:dyDescent="0.35">
      <c r="A10" s="9"/>
      <c r="B10" s="17"/>
      <c r="C10" s="18"/>
      <c r="D10" s="11"/>
      <c r="E10" s="11"/>
      <c r="F10" s="11"/>
      <c r="G10" s="11"/>
      <c r="H10" s="19"/>
      <c r="I10" s="10"/>
    </row>
    <row r="11" spans="1:9" ht="16" customHeight="1" x14ac:dyDescent="0.35">
      <c r="A11" s="20"/>
      <c r="B11" s="21" t="s">
        <v>15</v>
      </c>
      <c r="C11" s="22">
        <v>1</v>
      </c>
      <c r="D11" s="22" t="s">
        <v>16</v>
      </c>
      <c r="E11" s="23" t="s">
        <v>17</v>
      </c>
      <c r="G11" s="24"/>
      <c r="H11" s="24">
        <v>185</v>
      </c>
      <c r="I11" s="110"/>
    </row>
    <row r="12" spans="1:9" ht="16" customHeight="1" x14ac:dyDescent="0.35">
      <c r="A12" s="20"/>
      <c r="B12" s="25"/>
      <c r="C12" s="26">
        <v>2</v>
      </c>
      <c r="D12" s="26"/>
      <c r="E12" s="38" t="s">
        <v>18</v>
      </c>
      <c r="F12" s="27">
        <v>795</v>
      </c>
      <c r="G12" s="27"/>
      <c r="H12" s="27">
        <f>H11+F12</f>
        <v>980</v>
      </c>
      <c r="I12" s="110"/>
    </row>
    <row r="13" spans="1:9" ht="16" customHeight="1" x14ac:dyDescent="0.35">
      <c r="A13" s="20"/>
      <c r="B13" s="25"/>
      <c r="C13" s="26">
        <v>3</v>
      </c>
      <c r="D13" s="26"/>
      <c r="E13" s="38" t="s">
        <v>19</v>
      </c>
      <c r="F13" s="27"/>
      <c r="G13" s="27">
        <v>185</v>
      </c>
      <c r="H13" s="27">
        <f>H12-G13</f>
        <v>795</v>
      </c>
      <c r="I13" s="110"/>
    </row>
    <row r="14" spans="1:9" ht="16" customHeight="1" x14ac:dyDescent="0.35">
      <c r="A14" s="28"/>
      <c r="B14" s="25"/>
      <c r="C14" s="26"/>
      <c r="D14" s="26"/>
      <c r="E14" s="38"/>
      <c r="F14" s="27"/>
      <c r="G14" s="27"/>
      <c r="H14" s="27"/>
      <c r="I14" s="111"/>
    </row>
    <row r="15" spans="1:9" ht="15.5" x14ac:dyDescent="0.35">
      <c r="A15" s="1"/>
      <c r="B15" s="1"/>
      <c r="C15" s="1"/>
      <c r="D15" s="1"/>
      <c r="E15" s="1"/>
      <c r="F15" s="1"/>
      <c r="G15" s="1"/>
      <c r="H15" s="1"/>
      <c r="I15" s="1"/>
    </row>
    <row r="16" spans="1:9" ht="12.75" customHeight="1" x14ac:dyDescent="0.35">
      <c r="A16" s="108" t="s">
        <v>5</v>
      </c>
      <c r="B16" s="29"/>
      <c r="C16" s="29"/>
      <c r="D16" s="1" t="s">
        <v>20</v>
      </c>
      <c r="E16" s="1"/>
      <c r="F16" s="1"/>
      <c r="G16" s="7" t="s">
        <v>7</v>
      </c>
      <c r="H16" s="1">
        <v>120</v>
      </c>
      <c r="I16" s="1"/>
    </row>
    <row r="17" spans="1:9" ht="5.15" customHeight="1" thickBot="1" x14ac:dyDescent="0.4">
      <c r="A17" s="8"/>
      <c r="B17" s="8"/>
      <c r="C17" s="8"/>
      <c r="D17" s="8"/>
      <c r="E17" s="8"/>
      <c r="F17" s="8"/>
      <c r="G17" s="8"/>
      <c r="H17" s="8"/>
      <c r="I17" s="8"/>
    </row>
    <row r="18" spans="1:9" ht="13" customHeight="1" thickTop="1" x14ac:dyDescent="0.35">
      <c r="A18" s="9"/>
      <c r="B18" s="10"/>
      <c r="C18" s="1"/>
      <c r="D18" s="11"/>
      <c r="E18" s="11" t="s">
        <v>8</v>
      </c>
      <c r="F18" s="11"/>
      <c r="G18" s="11"/>
      <c r="H18" s="12" t="s">
        <v>9</v>
      </c>
      <c r="I18" s="10"/>
    </row>
    <row r="19" spans="1:9" ht="13" customHeight="1" thickBot="1" x14ac:dyDescent="0.4">
      <c r="A19" s="13"/>
      <c r="B19" s="14" t="s">
        <v>10</v>
      </c>
      <c r="C19" s="15"/>
      <c r="D19" s="16" t="s">
        <v>11</v>
      </c>
      <c r="E19" s="16" t="s">
        <v>12</v>
      </c>
      <c r="F19" s="16" t="s">
        <v>9</v>
      </c>
      <c r="G19" s="16" t="s">
        <v>13</v>
      </c>
      <c r="H19" s="16" t="s">
        <v>14</v>
      </c>
      <c r="I19" s="109"/>
    </row>
    <row r="20" spans="1:9" ht="9" customHeight="1" thickTop="1" x14ac:dyDescent="0.35">
      <c r="A20" s="9"/>
      <c r="B20" s="17"/>
      <c r="C20" s="18"/>
      <c r="D20" s="11"/>
      <c r="E20" s="11"/>
      <c r="F20" s="11"/>
      <c r="G20" s="11"/>
      <c r="H20" s="19"/>
      <c r="I20" s="10"/>
    </row>
    <row r="21" spans="1:9" ht="16" customHeight="1" x14ac:dyDescent="0.35">
      <c r="A21" s="20"/>
      <c r="B21" s="21" t="s">
        <v>15</v>
      </c>
      <c r="C21" s="22">
        <v>1</v>
      </c>
      <c r="D21" s="22" t="s">
        <v>16</v>
      </c>
      <c r="E21" s="23" t="s">
        <v>17</v>
      </c>
      <c r="F21" s="24"/>
      <c r="G21" s="24"/>
      <c r="H21" s="24">
        <v>2989.2</v>
      </c>
      <c r="I21" s="110"/>
    </row>
    <row r="22" spans="1:9" ht="16" customHeight="1" x14ac:dyDescent="0.35">
      <c r="A22" s="28"/>
      <c r="B22" s="25"/>
      <c r="C22" s="26">
        <v>9</v>
      </c>
      <c r="D22" s="26"/>
      <c r="E22" s="38" t="s">
        <v>18</v>
      </c>
      <c r="F22" s="27">
        <v>280.89999999999998</v>
      </c>
      <c r="G22" s="27"/>
      <c r="H22" s="27">
        <f>H21+F22</f>
        <v>3270.1</v>
      </c>
      <c r="I22" s="111"/>
    </row>
    <row r="23" spans="1:9" ht="16" customHeight="1" x14ac:dyDescent="0.35">
      <c r="A23" s="28"/>
      <c r="B23" s="25"/>
      <c r="C23" s="26">
        <v>16</v>
      </c>
      <c r="D23" s="26"/>
      <c r="E23" s="38" t="s">
        <v>18</v>
      </c>
      <c r="F23" s="27">
        <v>3688.8</v>
      </c>
      <c r="G23" s="27"/>
      <c r="H23" s="27">
        <f>H22+F23</f>
        <v>6958.9</v>
      </c>
      <c r="I23" s="111"/>
    </row>
    <row r="24" spans="1:9" ht="16" customHeight="1" x14ac:dyDescent="0.35">
      <c r="A24" s="28"/>
      <c r="B24" s="25"/>
      <c r="C24" s="26">
        <v>7</v>
      </c>
      <c r="D24" s="26"/>
      <c r="E24" s="38" t="s">
        <v>19</v>
      </c>
      <c r="F24" s="27"/>
      <c r="G24" s="27">
        <v>2989.2</v>
      </c>
      <c r="H24" s="27">
        <f>H23-G24</f>
        <v>3969.7</v>
      </c>
      <c r="I24" s="111"/>
    </row>
    <row r="25" spans="1:9" ht="15.5" x14ac:dyDescent="0.35">
      <c r="A25" s="1"/>
      <c r="B25" s="1"/>
      <c r="C25" s="1"/>
      <c r="D25" s="1"/>
      <c r="E25" s="1"/>
      <c r="F25" s="1"/>
      <c r="G25" s="1"/>
      <c r="H25" s="1"/>
      <c r="I25" s="1"/>
    </row>
    <row r="26" spans="1:9" ht="12.75" customHeight="1" x14ac:dyDescent="0.35">
      <c r="A26" s="108" t="s">
        <v>5</v>
      </c>
      <c r="B26" s="29"/>
      <c r="C26" s="29"/>
      <c r="D26" s="1" t="s">
        <v>21</v>
      </c>
      <c r="E26" s="1"/>
      <c r="F26" s="1"/>
      <c r="G26" s="7" t="s">
        <v>7</v>
      </c>
      <c r="H26" s="1">
        <v>130</v>
      </c>
      <c r="I26" s="1"/>
    </row>
    <row r="27" spans="1:9" ht="5.15" customHeight="1" thickBot="1" x14ac:dyDescent="0.4">
      <c r="A27" s="8"/>
      <c r="B27" s="8"/>
      <c r="C27" s="8"/>
      <c r="D27" s="8"/>
      <c r="E27" s="8"/>
      <c r="F27" s="8"/>
      <c r="G27" s="8"/>
      <c r="H27" s="8"/>
      <c r="I27" s="8"/>
    </row>
    <row r="28" spans="1:9" ht="13" customHeight="1" thickTop="1" x14ac:dyDescent="0.35">
      <c r="A28" s="9"/>
      <c r="B28" s="10"/>
      <c r="C28" s="1"/>
      <c r="D28" s="11"/>
      <c r="E28" s="11" t="s">
        <v>8</v>
      </c>
      <c r="F28" s="11"/>
      <c r="G28" s="11"/>
      <c r="H28" s="12" t="s">
        <v>9</v>
      </c>
      <c r="I28" s="10"/>
    </row>
    <row r="29" spans="1:9" ht="13" customHeight="1" thickBot="1" x14ac:dyDescent="0.4">
      <c r="A29" s="13"/>
      <c r="B29" s="14" t="s">
        <v>10</v>
      </c>
      <c r="C29" s="15"/>
      <c r="D29" s="16" t="s">
        <v>11</v>
      </c>
      <c r="E29" s="16" t="s">
        <v>12</v>
      </c>
      <c r="F29" s="16" t="s">
        <v>9</v>
      </c>
      <c r="G29" s="16" t="s">
        <v>13</v>
      </c>
      <c r="H29" s="16" t="s">
        <v>14</v>
      </c>
      <c r="I29" s="109"/>
    </row>
    <row r="30" spans="1:9" ht="9" customHeight="1" thickTop="1" x14ac:dyDescent="0.35">
      <c r="A30" s="9"/>
      <c r="B30" s="17"/>
      <c r="C30" s="18"/>
      <c r="D30" s="11"/>
      <c r="E30" s="11"/>
      <c r="F30" s="11"/>
      <c r="G30" s="11"/>
      <c r="H30" s="19"/>
      <c r="I30" s="10"/>
    </row>
    <row r="31" spans="1:9" ht="16" customHeight="1" x14ac:dyDescent="0.35">
      <c r="A31" s="20"/>
      <c r="B31" s="30" t="s">
        <v>15</v>
      </c>
      <c r="C31" s="22">
        <v>1</v>
      </c>
      <c r="D31" s="22" t="s">
        <v>16</v>
      </c>
      <c r="E31" s="23" t="s">
        <v>17</v>
      </c>
      <c r="F31" s="24"/>
      <c r="G31" s="24"/>
      <c r="H31" s="24">
        <v>381.6</v>
      </c>
      <c r="I31" s="110"/>
    </row>
    <row r="32" spans="1:9" ht="16" customHeight="1" x14ac:dyDescent="0.35">
      <c r="A32" s="28"/>
      <c r="B32" s="25"/>
      <c r="C32" s="26">
        <v>14</v>
      </c>
      <c r="D32" s="26"/>
      <c r="E32" s="38" t="s">
        <v>18</v>
      </c>
      <c r="F32" s="27">
        <v>692</v>
      </c>
      <c r="G32" s="27"/>
      <c r="H32" s="27">
        <f>H31+F32</f>
        <v>1073.5999999999999</v>
      </c>
      <c r="I32" s="111"/>
    </row>
    <row r="33" spans="1:9" ht="16" customHeight="1" x14ac:dyDescent="0.35">
      <c r="A33" s="28"/>
      <c r="B33" s="25"/>
      <c r="C33" s="26">
        <v>12</v>
      </c>
      <c r="D33" s="26"/>
      <c r="E33" s="38" t="s">
        <v>19</v>
      </c>
      <c r="F33" s="27"/>
      <c r="G33" s="27">
        <v>381.6</v>
      </c>
      <c r="H33" s="27">
        <f>H32-G33</f>
        <v>691.99999999999989</v>
      </c>
      <c r="I33" s="111"/>
    </row>
    <row r="34" spans="1:9" ht="16" customHeight="1" x14ac:dyDescent="0.35">
      <c r="A34" s="28"/>
      <c r="B34" s="25"/>
      <c r="C34" s="26"/>
      <c r="D34" s="26"/>
      <c r="E34" s="38"/>
      <c r="F34" s="27"/>
      <c r="G34" s="27"/>
      <c r="H34" s="27"/>
      <c r="I34" s="111"/>
    </row>
    <row r="35" spans="1:9" ht="16" customHeight="1" x14ac:dyDescent="0.35">
      <c r="A35" s="28"/>
      <c r="B35" s="25"/>
      <c r="C35" s="26"/>
      <c r="D35" s="26"/>
      <c r="E35" s="26"/>
      <c r="F35" s="27"/>
      <c r="G35" s="27"/>
      <c r="H35" s="27"/>
      <c r="I35" s="111"/>
    </row>
    <row r="36" spans="1:9" ht="15.5" x14ac:dyDescent="0.35">
      <c r="A36" s="1"/>
      <c r="B36" s="1"/>
      <c r="C36" s="1"/>
      <c r="D36" s="1"/>
      <c r="E36" s="1"/>
      <c r="F36" s="1"/>
      <c r="G36" s="1"/>
      <c r="H36" s="1"/>
      <c r="I36" s="1"/>
    </row>
    <row r="38" spans="1:9" ht="15.5" x14ac:dyDescent="0.35">
      <c r="D38" s="171" t="s">
        <v>22</v>
      </c>
      <c r="E38" s="171"/>
      <c r="F38" s="171"/>
    </row>
    <row r="39" spans="1:9" ht="15.5" x14ac:dyDescent="0.35">
      <c r="D39" s="172" t="s">
        <v>23</v>
      </c>
      <c r="E39" s="172"/>
      <c r="F39" s="172"/>
    </row>
    <row r="40" spans="1:9" ht="15.5" x14ac:dyDescent="0.35">
      <c r="D40" s="173">
        <v>45473</v>
      </c>
      <c r="E40" s="171"/>
      <c r="F40" s="171"/>
      <c r="G40" s="31"/>
    </row>
    <row r="41" spans="1:9" ht="16" thickBot="1" x14ac:dyDescent="0.4">
      <c r="D41" s="112"/>
      <c r="E41" s="112"/>
      <c r="F41" s="112"/>
    </row>
    <row r="42" spans="1:9" ht="16" thickTop="1" x14ac:dyDescent="0.35">
      <c r="D42" s="174" t="s">
        <v>6</v>
      </c>
      <c r="E42" s="174"/>
      <c r="F42" s="27">
        <v>795</v>
      </c>
    </row>
    <row r="43" spans="1:9" ht="15.5" x14ac:dyDescent="0.35">
      <c r="D43" s="170" t="s">
        <v>20</v>
      </c>
      <c r="E43" s="170"/>
      <c r="F43" s="113">
        <v>3969.7</v>
      </c>
    </row>
    <row r="44" spans="1:9" ht="16" thickBot="1" x14ac:dyDescent="0.4">
      <c r="D44" s="170" t="s">
        <v>21</v>
      </c>
      <c r="E44" s="170"/>
      <c r="F44" s="113">
        <v>692</v>
      </c>
    </row>
    <row r="45" spans="1:9" ht="16" thickBot="1" x14ac:dyDescent="0.4">
      <c r="D45" s="170" t="s">
        <v>24</v>
      </c>
      <c r="E45" s="170"/>
      <c r="F45" s="114">
        <f>SUM(F42:F44)</f>
        <v>5456.7</v>
      </c>
      <c r="G45" s="4" t="s">
        <v>25</v>
      </c>
    </row>
    <row r="46" spans="1:9" ht="16" thickTop="1" x14ac:dyDescent="0.35">
      <c r="D46" s="170"/>
      <c r="E46" s="170"/>
      <c r="F46" s="115"/>
    </row>
  </sheetData>
  <mergeCells count="8">
    <mergeCell ref="D45:E45"/>
    <mergeCell ref="D46:E46"/>
    <mergeCell ref="D38:F38"/>
    <mergeCell ref="D39:F39"/>
    <mergeCell ref="D40:F40"/>
    <mergeCell ref="D42:E42"/>
    <mergeCell ref="D43:E43"/>
    <mergeCell ref="D44:E44"/>
  </mergeCells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35"/>
  <sheetViews>
    <sheetView zoomScale="58" zoomScaleNormal="58" workbookViewId="0">
      <selection activeCell="S24" sqref="S24"/>
    </sheetView>
  </sheetViews>
  <sheetFormatPr defaultColWidth="9.1796875" defaultRowHeight="10" x14ac:dyDescent="0.2"/>
  <cols>
    <col min="1" max="1" width="2.7265625" style="4" customWidth="1"/>
    <col min="2" max="2" width="5.453125" style="4" customWidth="1"/>
    <col min="3" max="3" width="4.1796875" style="4" customWidth="1"/>
    <col min="4" max="4" width="36.54296875" style="4" customWidth="1"/>
    <col min="5" max="6" width="11.54296875" style="4" bestFit="1" customWidth="1"/>
    <col min="7" max="7" width="17.54296875" style="4" customWidth="1"/>
    <col min="8" max="8" width="12.81640625" style="4" bestFit="1" customWidth="1"/>
    <col min="9" max="9" width="15.54296875" style="4" customWidth="1"/>
    <col min="10" max="10" width="2.7265625" style="4" customWidth="1"/>
    <col min="11" max="11" width="4.1796875" style="4" customWidth="1"/>
    <col min="12" max="12" width="2.7265625" style="4" customWidth="1"/>
    <col min="13" max="13" width="5.1796875" style="4" customWidth="1"/>
    <col min="14" max="14" width="4.81640625" style="4" customWidth="1"/>
    <col min="15" max="15" width="24.81640625" style="4" bestFit="1" customWidth="1"/>
    <col min="16" max="17" width="11.54296875" style="4" bestFit="1" customWidth="1"/>
    <col min="18" max="18" width="7.1796875" style="4" customWidth="1"/>
    <col min="19" max="19" width="7.81640625" style="4" customWidth="1"/>
    <col min="20" max="21" width="11.54296875" style="4" bestFit="1" customWidth="1"/>
    <col min="22" max="23" width="10.453125" style="4" bestFit="1" customWidth="1"/>
    <col min="24" max="24" width="14.54296875" style="4" bestFit="1" customWidth="1"/>
    <col min="25" max="25" width="3" style="4" customWidth="1"/>
    <col min="26" max="16384" width="9.1796875" style="4"/>
  </cols>
  <sheetData>
    <row r="1" spans="1:25" ht="15.5" x14ac:dyDescent="0.35">
      <c r="A1" s="1" t="e">
        <f>#REF!</f>
        <v>#REF!</v>
      </c>
      <c r="B1" s="1"/>
      <c r="C1" s="1"/>
      <c r="D1" s="1"/>
      <c r="E1" s="106" t="s">
        <v>1</v>
      </c>
      <c r="F1" s="2" t="str">
        <f>'10-1 - 10-4 AR Led own'!F1</f>
        <v>Dhruv Patil</v>
      </c>
      <c r="G1" s="3"/>
      <c r="L1" s="1" t="e">
        <f>#REF!</f>
        <v>#REF!</v>
      </c>
      <c r="M1" s="1"/>
      <c r="N1" s="1"/>
      <c r="O1" s="1"/>
      <c r="P1" s="106" t="s">
        <v>1</v>
      </c>
      <c r="Q1" s="2" t="str">
        <f>'10-1 - 10-4 AR Led own'!F1</f>
        <v>Dhruv Patil</v>
      </c>
      <c r="R1" s="3"/>
      <c r="S1" s="116"/>
    </row>
    <row r="2" spans="1:25" ht="15.5" x14ac:dyDescent="0.35">
      <c r="A2" s="1" t="e">
        <f>#REF!</f>
        <v>#REF!</v>
      </c>
      <c r="B2" s="1"/>
      <c r="C2" s="1"/>
      <c r="D2" s="1"/>
      <c r="E2" s="1"/>
      <c r="F2" s="1"/>
      <c r="G2" s="107"/>
      <c r="L2" s="1" t="e">
        <f>A2</f>
        <v>#REF!</v>
      </c>
      <c r="M2" s="1"/>
      <c r="N2" s="1"/>
      <c r="O2" s="1"/>
      <c r="P2" s="1"/>
      <c r="Q2" s="1"/>
      <c r="R2" s="107"/>
      <c r="T2" s="70"/>
    </row>
    <row r="3" spans="1:25" ht="15.5" x14ac:dyDescent="0.35">
      <c r="D3" s="107"/>
      <c r="L3" s="1"/>
      <c r="M3" s="1"/>
      <c r="N3" s="1"/>
      <c r="O3" s="107"/>
      <c r="P3" s="1"/>
      <c r="Q3" s="1"/>
      <c r="R3" s="107"/>
      <c r="S3" s="4" t="s">
        <v>26</v>
      </c>
    </row>
    <row r="4" spans="1:25" ht="15.5" x14ac:dyDescent="0.35">
      <c r="L4" s="1"/>
      <c r="M4" s="1"/>
      <c r="N4" s="1"/>
      <c r="O4" s="1"/>
      <c r="P4" s="1"/>
      <c r="Q4" s="1"/>
      <c r="R4" s="107"/>
    </row>
    <row r="5" spans="1:25" s="71" customFormat="1" ht="15.5" x14ac:dyDescent="0.35">
      <c r="A5" s="117"/>
      <c r="B5" s="117"/>
      <c r="C5" s="117"/>
      <c r="D5" s="7" t="s">
        <v>27</v>
      </c>
      <c r="E5" s="117"/>
      <c r="F5" s="117"/>
      <c r="G5" s="117"/>
      <c r="H5" s="7" t="s">
        <v>28</v>
      </c>
      <c r="I5" s="95" t="s">
        <v>18</v>
      </c>
      <c r="J5" s="117"/>
      <c r="K5" s="118"/>
      <c r="L5" s="95" t="s">
        <v>29</v>
      </c>
      <c r="M5" s="95"/>
      <c r="N5" s="95"/>
      <c r="O5" s="41"/>
      <c r="P5" s="41"/>
      <c r="Q5" s="41"/>
      <c r="R5" s="41"/>
      <c r="S5" s="41" t="s">
        <v>30</v>
      </c>
      <c r="T5" s="41"/>
      <c r="U5" s="41"/>
      <c r="V5" s="41"/>
      <c r="W5" s="41" t="s">
        <v>28</v>
      </c>
      <c r="X5" s="41" t="s">
        <v>19</v>
      </c>
      <c r="Y5" s="95"/>
    </row>
    <row r="6" spans="1:25" s="71" customFormat="1" ht="9" customHeight="1" thickBot="1" x14ac:dyDescent="0.4">
      <c r="A6" s="119"/>
      <c r="B6" s="119"/>
      <c r="C6" s="119"/>
      <c r="D6" s="119"/>
      <c r="E6" s="119"/>
      <c r="F6" s="119"/>
      <c r="G6" s="32">
        <v>1</v>
      </c>
      <c r="H6" s="32">
        <v>2</v>
      </c>
      <c r="I6" s="32">
        <v>3</v>
      </c>
      <c r="J6" s="119"/>
      <c r="K6" s="118"/>
      <c r="L6" s="42"/>
      <c r="M6" s="42"/>
      <c r="N6" s="42"/>
      <c r="O6" s="42"/>
      <c r="P6" s="42"/>
      <c r="Q6" s="42"/>
      <c r="R6" s="32">
        <v>1</v>
      </c>
      <c r="S6" s="32">
        <v>2</v>
      </c>
      <c r="T6" s="32">
        <v>3</v>
      </c>
      <c r="U6" s="32">
        <v>4</v>
      </c>
      <c r="V6" s="43">
        <v>5</v>
      </c>
      <c r="W6" s="43">
        <v>6</v>
      </c>
      <c r="X6" s="32">
        <v>7</v>
      </c>
      <c r="Y6" s="42"/>
    </row>
    <row r="7" spans="1:25" ht="16.5" customHeight="1" thickTop="1" x14ac:dyDescent="0.35">
      <c r="A7" s="33"/>
      <c r="B7" s="10"/>
      <c r="C7" s="1"/>
      <c r="D7" s="11"/>
      <c r="E7" s="11"/>
      <c r="F7" s="11"/>
      <c r="G7" s="120" t="s">
        <v>31</v>
      </c>
      <c r="H7" s="120"/>
      <c r="I7" s="121" t="s">
        <v>32</v>
      </c>
      <c r="J7" s="34"/>
      <c r="L7" s="44"/>
      <c r="M7" s="45"/>
      <c r="N7" s="46"/>
      <c r="O7" s="47"/>
      <c r="P7" s="47"/>
      <c r="Q7" s="47"/>
      <c r="R7" s="48"/>
      <c r="S7" s="48"/>
      <c r="T7" s="47" t="s">
        <v>31</v>
      </c>
      <c r="U7" s="49"/>
      <c r="V7" s="50" t="s">
        <v>32</v>
      </c>
      <c r="W7" s="51" t="s">
        <v>33</v>
      </c>
      <c r="X7" s="52"/>
      <c r="Y7" s="53"/>
    </row>
    <row r="8" spans="1:25" ht="15" customHeight="1" x14ac:dyDescent="0.35">
      <c r="A8" s="33"/>
      <c r="B8" s="10"/>
      <c r="C8" s="1"/>
      <c r="D8" s="11"/>
      <c r="E8" s="11" t="s">
        <v>34</v>
      </c>
      <c r="F8" s="11" t="s">
        <v>8</v>
      </c>
      <c r="G8" s="120" t="s">
        <v>35</v>
      </c>
      <c r="H8" s="120" t="s">
        <v>33</v>
      </c>
      <c r="I8" s="121" t="s">
        <v>36</v>
      </c>
      <c r="J8" s="34"/>
      <c r="L8" s="33"/>
      <c r="M8" s="54"/>
      <c r="O8" s="55"/>
      <c r="P8" s="55" t="s">
        <v>37</v>
      </c>
      <c r="Q8" s="55" t="s">
        <v>8</v>
      </c>
      <c r="R8" s="56" t="s">
        <v>38</v>
      </c>
      <c r="S8" s="57"/>
      <c r="T8" s="55" t="s">
        <v>35</v>
      </c>
      <c r="U8" s="58" t="s">
        <v>33</v>
      </c>
      <c r="V8" s="59" t="s">
        <v>36</v>
      </c>
      <c r="W8" s="60" t="s">
        <v>39</v>
      </c>
      <c r="X8" s="52" t="s">
        <v>40</v>
      </c>
      <c r="Y8" s="34"/>
    </row>
    <row r="9" spans="1:25" ht="16.5" customHeight="1" thickBot="1" x14ac:dyDescent="0.4">
      <c r="A9" s="35"/>
      <c r="B9" s="14" t="s">
        <v>10</v>
      </c>
      <c r="C9" s="15"/>
      <c r="D9" s="16" t="s">
        <v>41</v>
      </c>
      <c r="E9" s="16" t="s">
        <v>42</v>
      </c>
      <c r="F9" s="16" t="s">
        <v>12</v>
      </c>
      <c r="G9" s="16" t="s">
        <v>9</v>
      </c>
      <c r="H9" s="16" t="s">
        <v>13</v>
      </c>
      <c r="I9" s="16" t="s">
        <v>13</v>
      </c>
      <c r="J9" s="36"/>
      <c r="L9" s="35"/>
      <c r="M9" s="61" t="s">
        <v>10</v>
      </c>
      <c r="N9" s="62"/>
      <c r="O9" s="63" t="s">
        <v>43</v>
      </c>
      <c r="P9" s="63" t="s">
        <v>42</v>
      </c>
      <c r="Q9" s="63" t="s">
        <v>12</v>
      </c>
      <c r="R9" s="64" t="s">
        <v>9</v>
      </c>
      <c r="S9" s="65" t="s">
        <v>13</v>
      </c>
      <c r="T9" s="63" t="s">
        <v>13</v>
      </c>
      <c r="U9" s="66" t="s">
        <v>13</v>
      </c>
      <c r="V9" s="66" t="s">
        <v>13</v>
      </c>
      <c r="W9" s="66" t="s">
        <v>9</v>
      </c>
      <c r="X9" s="65" t="s">
        <v>9</v>
      </c>
      <c r="Y9" s="36"/>
    </row>
    <row r="10" spans="1:25" ht="16.5" customHeight="1" thickTop="1" x14ac:dyDescent="0.35">
      <c r="A10" s="40">
        <v>1</v>
      </c>
      <c r="B10" s="21" t="s">
        <v>15</v>
      </c>
      <c r="C10" s="72">
        <v>2</v>
      </c>
      <c r="D10" s="22" t="s">
        <v>6</v>
      </c>
      <c r="E10" s="72" t="s">
        <v>44</v>
      </c>
      <c r="F10" s="72">
        <v>110</v>
      </c>
      <c r="G10" s="73">
        <f>H10+I10</f>
        <v>795</v>
      </c>
      <c r="H10" s="73">
        <v>750</v>
      </c>
      <c r="I10" s="73">
        <f>H10*0.06</f>
        <v>45</v>
      </c>
      <c r="J10" s="67">
        <v>1</v>
      </c>
      <c r="L10" s="40">
        <v>1</v>
      </c>
      <c r="M10" s="96" t="s">
        <v>15</v>
      </c>
      <c r="N10" s="97">
        <v>3</v>
      </c>
      <c r="O10" s="97" t="s">
        <v>6</v>
      </c>
      <c r="P10" s="98" t="s">
        <v>45</v>
      </c>
      <c r="Q10" s="98">
        <v>110</v>
      </c>
      <c r="R10" s="122"/>
      <c r="S10" s="122"/>
      <c r="T10" s="122">
        <v>185</v>
      </c>
      <c r="U10" s="122"/>
      <c r="V10" s="122"/>
      <c r="W10" s="122">
        <f>T10*0.02</f>
        <v>3.7</v>
      </c>
      <c r="X10" s="123">
        <f>T10-W10</f>
        <v>181.3</v>
      </c>
      <c r="Y10" s="67">
        <v>1</v>
      </c>
    </row>
    <row r="11" spans="1:25" ht="16" customHeight="1" x14ac:dyDescent="0.35">
      <c r="A11" s="40">
        <v>2</v>
      </c>
      <c r="B11" s="25"/>
      <c r="C11" s="38">
        <v>9</v>
      </c>
      <c r="D11" s="26" t="s">
        <v>20</v>
      </c>
      <c r="E11" s="38" t="s">
        <v>46</v>
      </c>
      <c r="F11" s="72">
        <v>120</v>
      </c>
      <c r="G11" s="74">
        <f>H11+I11</f>
        <v>280.89999999999998</v>
      </c>
      <c r="H11" s="74">
        <v>265</v>
      </c>
      <c r="I11" s="74">
        <f>H11*0.06</f>
        <v>15.899999999999999</v>
      </c>
      <c r="J11" s="67">
        <v>2</v>
      </c>
      <c r="L11" s="37">
        <f t="shared" ref="L11:L14" si="0">L10+1</f>
        <v>2</v>
      </c>
      <c r="M11" s="124"/>
      <c r="N11" s="101">
        <v>5</v>
      </c>
      <c r="O11" s="99" t="s">
        <v>47</v>
      </c>
      <c r="P11" s="100" t="s">
        <v>48</v>
      </c>
      <c r="Q11" s="99" t="s">
        <v>47</v>
      </c>
      <c r="R11" s="125"/>
      <c r="S11" s="125"/>
      <c r="T11" s="125"/>
      <c r="U11" s="125">
        <v>2583</v>
      </c>
      <c r="V11" s="125">
        <v>154.97999999999999</v>
      </c>
      <c r="W11" s="125"/>
      <c r="X11" s="126">
        <f>V11+U11</f>
        <v>2737.98</v>
      </c>
      <c r="Y11" s="39">
        <f t="shared" ref="Y11:Y14" si="1">Y10+1</f>
        <v>2</v>
      </c>
    </row>
    <row r="12" spans="1:25" ht="16" customHeight="1" thickBot="1" x14ac:dyDescent="0.4">
      <c r="A12" s="40">
        <v>3</v>
      </c>
      <c r="B12" s="25"/>
      <c r="C12" s="38">
        <v>14</v>
      </c>
      <c r="D12" s="26" t="s">
        <v>21</v>
      </c>
      <c r="E12" s="38" t="s">
        <v>49</v>
      </c>
      <c r="F12" s="72">
        <v>130</v>
      </c>
      <c r="G12" s="75">
        <v>692</v>
      </c>
      <c r="H12" s="75">
        <v>692</v>
      </c>
      <c r="I12" s="76"/>
      <c r="J12" s="67">
        <v>3</v>
      </c>
      <c r="L12" s="37">
        <f t="shared" si="0"/>
        <v>3</v>
      </c>
      <c r="M12" s="127"/>
      <c r="N12" s="101">
        <v>7</v>
      </c>
      <c r="O12" s="97" t="s">
        <v>20</v>
      </c>
      <c r="P12" s="100" t="s">
        <v>50</v>
      </c>
      <c r="Q12" s="98">
        <v>120</v>
      </c>
      <c r="R12" s="125"/>
      <c r="S12" s="125"/>
      <c r="T12" s="125">
        <v>2989.2</v>
      </c>
      <c r="U12" s="125"/>
      <c r="V12" s="125"/>
      <c r="W12" s="125">
        <f>T12*0.02</f>
        <v>59.783999999999999</v>
      </c>
      <c r="X12" s="128">
        <f>T12-W12</f>
        <v>2929.4159999999997</v>
      </c>
      <c r="Y12" s="39">
        <f t="shared" si="1"/>
        <v>3</v>
      </c>
    </row>
    <row r="13" spans="1:25" ht="16" customHeight="1" thickBot="1" x14ac:dyDescent="0.4">
      <c r="A13" s="40">
        <v>4</v>
      </c>
      <c r="B13" s="21"/>
      <c r="C13" s="72">
        <v>16</v>
      </c>
      <c r="D13" s="22" t="s">
        <v>20</v>
      </c>
      <c r="E13" s="72" t="s">
        <v>51</v>
      </c>
      <c r="F13" s="72">
        <v>120</v>
      </c>
      <c r="G13" s="81">
        <f>H13+I13</f>
        <v>3688.8</v>
      </c>
      <c r="H13" s="81">
        <v>3480</v>
      </c>
      <c r="I13" s="82">
        <f>H13*0.06</f>
        <v>208.79999999999998</v>
      </c>
      <c r="J13" s="67">
        <v>4</v>
      </c>
      <c r="L13" s="40">
        <f t="shared" si="0"/>
        <v>4</v>
      </c>
      <c r="M13" s="96"/>
      <c r="N13" s="97">
        <v>12</v>
      </c>
      <c r="O13" s="97" t="s">
        <v>21</v>
      </c>
      <c r="P13" s="98" t="s">
        <v>52</v>
      </c>
      <c r="Q13" s="98">
        <v>130</v>
      </c>
      <c r="R13" s="125"/>
      <c r="S13" s="125"/>
      <c r="T13" s="125">
        <v>381.6</v>
      </c>
      <c r="U13" s="125"/>
      <c r="V13" s="125"/>
      <c r="W13" s="125"/>
      <c r="X13" s="128">
        <f>T13</f>
        <v>381.6</v>
      </c>
      <c r="Y13" s="67">
        <f t="shared" si="1"/>
        <v>4</v>
      </c>
    </row>
    <row r="14" spans="1:25" ht="16" customHeight="1" thickTop="1" thickBot="1" x14ac:dyDescent="0.4">
      <c r="A14" s="40">
        <v>5</v>
      </c>
      <c r="B14" s="21"/>
      <c r="C14" s="72">
        <v>30</v>
      </c>
      <c r="D14" s="22" t="s">
        <v>53</v>
      </c>
      <c r="E14" s="72"/>
      <c r="F14" s="22"/>
      <c r="G14" s="83">
        <f>SUM(G10:G13)</f>
        <v>5456.7000000000007</v>
      </c>
      <c r="H14" s="83">
        <f>SUM(H10:H13)</f>
        <v>5187</v>
      </c>
      <c r="I14" s="83">
        <f>SUM(I10:I13)</f>
        <v>269.7</v>
      </c>
      <c r="J14" s="67">
        <v>5</v>
      </c>
      <c r="L14" s="37">
        <f t="shared" si="0"/>
        <v>5</v>
      </c>
      <c r="M14" s="124"/>
      <c r="N14" s="101">
        <v>18</v>
      </c>
      <c r="O14" s="99" t="s">
        <v>47</v>
      </c>
      <c r="P14" s="98" t="s">
        <v>54</v>
      </c>
      <c r="Q14" s="99" t="s">
        <v>47</v>
      </c>
      <c r="R14" s="129"/>
      <c r="S14" s="129"/>
      <c r="T14" s="129"/>
      <c r="U14" s="129">
        <v>3825.3</v>
      </c>
      <c r="V14" s="129">
        <v>229.52</v>
      </c>
      <c r="W14" s="129"/>
      <c r="X14" s="130">
        <f>U14+V14</f>
        <v>4054.82</v>
      </c>
      <c r="Y14" s="39">
        <f t="shared" si="1"/>
        <v>5</v>
      </c>
    </row>
    <row r="15" spans="1:25" ht="16" customHeight="1" thickTop="1" thickBot="1" x14ac:dyDescent="0.4">
      <c r="A15" s="40">
        <v>6</v>
      </c>
      <c r="B15" s="25"/>
      <c r="C15" s="38"/>
      <c r="D15" s="26"/>
      <c r="E15" s="38"/>
      <c r="F15" s="26"/>
      <c r="G15" s="131" t="s">
        <v>55</v>
      </c>
      <c r="H15" s="131" t="s">
        <v>56</v>
      </c>
      <c r="I15" s="131" t="s">
        <v>57</v>
      </c>
      <c r="J15" s="67">
        <v>6</v>
      </c>
      <c r="L15" s="37">
        <f>L14+1</f>
        <v>6</v>
      </c>
      <c r="M15" s="124"/>
      <c r="N15" s="101">
        <v>30</v>
      </c>
      <c r="O15" s="101" t="s">
        <v>58</v>
      </c>
      <c r="P15" s="132"/>
      <c r="Q15" s="132"/>
      <c r="R15" s="133"/>
      <c r="S15" s="133"/>
      <c r="T15" s="133">
        <f>SUM(T10:T14)</f>
        <v>3555.7999999999997</v>
      </c>
      <c r="U15" s="133">
        <f>SUM(U10:U14)</f>
        <v>6408.3</v>
      </c>
      <c r="V15" s="133">
        <f>SUM(V10:V14)</f>
        <v>384.5</v>
      </c>
      <c r="W15" s="133">
        <f>SUM(W10:W14)</f>
        <v>63.484000000000002</v>
      </c>
      <c r="X15" s="134">
        <f>SUM(X10:X14)</f>
        <v>10285.116</v>
      </c>
      <c r="Y15" s="39">
        <f>Y14+1</f>
        <v>6</v>
      </c>
    </row>
    <row r="16" spans="1:25" ht="16" customHeight="1" thickTop="1" x14ac:dyDescent="0.35">
      <c r="A16" s="40">
        <v>7</v>
      </c>
      <c r="B16" s="25"/>
      <c r="C16" s="38"/>
      <c r="D16" s="26"/>
      <c r="E16" s="38"/>
      <c r="F16" s="26"/>
      <c r="G16" s="74"/>
      <c r="H16" s="74"/>
      <c r="I16" s="74"/>
      <c r="J16" s="67">
        <v>7</v>
      </c>
      <c r="L16" s="37">
        <f>L15+1</f>
        <v>7</v>
      </c>
      <c r="M16" s="124"/>
      <c r="N16" s="101"/>
      <c r="O16" s="101"/>
      <c r="P16" s="132"/>
      <c r="Q16" s="132"/>
      <c r="R16" s="122"/>
      <c r="S16" s="122"/>
      <c r="T16" s="94" t="s">
        <v>55</v>
      </c>
      <c r="U16" s="94" t="s">
        <v>56</v>
      </c>
      <c r="V16" s="94" t="s">
        <v>57</v>
      </c>
      <c r="W16" s="94" t="s">
        <v>59</v>
      </c>
      <c r="X16" s="94" t="s">
        <v>60</v>
      </c>
      <c r="Y16" s="39">
        <f>Y15+1</f>
        <v>7</v>
      </c>
    </row>
    <row r="17" spans="1:25" ht="12.5" x14ac:dyDescent="0.25"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</row>
    <row r="18" spans="1:25" ht="14" x14ac:dyDescent="0.3">
      <c r="C18" s="77" t="s">
        <v>61</v>
      </c>
      <c r="D18" s="135"/>
      <c r="E18" s="135"/>
      <c r="F18" s="135"/>
      <c r="M18" s="118"/>
      <c r="N18" s="77" t="s">
        <v>61</v>
      </c>
      <c r="O18" s="135"/>
      <c r="P18" s="135"/>
      <c r="Q18" s="135"/>
      <c r="R18" s="118"/>
      <c r="S18" s="118"/>
      <c r="T18" s="118"/>
      <c r="U18" s="118"/>
      <c r="V18" s="118"/>
      <c r="W18" s="118"/>
      <c r="X18" s="118"/>
    </row>
    <row r="19" spans="1:25" ht="15.5" x14ac:dyDescent="0.35">
      <c r="C19" s="77" t="s">
        <v>62</v>
      </c>
      <c r="D19" s="77" t="s">
        <v>63</v>
      </c>
      <c r="E19" s="77" t="s">
        <v>53</v>
      </c>
      <c r="F19" s="77" t="s">
        <v>53</v>
      </c>
      <c r="N19" s="77" t="s">
        <v>62</v>
      </c>
      <c r="O19" s="77" t="s">
        <v>63</v>
      </c>
      <c r="P19" s="77" t="s">
        <v>53</v>
      </c>
      <c r="Q19" s="77" t="s">
        <v>53</v>
      </c>
      <c r="S19" s="175" t="s">
        <v>64</v>
      </c>
      <c r="T19" s="175"/>
      <c r="U19" s="175"/>
      <c r="V19" s="175"/>
      <c r="W19" s="175"/>
      <c r="X19" s="175"/>
    </row>
    <row r="20" spans="1:25" ht="15.5" x14ac:dyDescent="0.35">
      <c r="C20" s="136">
        <v>1</v>
      </c>
      <c r="D20" s="135" t="s">
        <v>65</v>
      </c>
      <c r="E20" s="78">
        <v>5456.7</v>
      </c>
      <c r="F20" s="137"/>
      <c r="N20" s="136">
        <v>1</v>
      </c>
      <c r="O20" s="135" t="s">
        <v>66</v>
      </c>
      <c r="P20" s="78">
        <f>R15</f>
        <v>0</v>
      </c>
      <c r="Q20" s="137"/>
      <c r="S20" s="1" t="s">
        <v>67</v>
      </c>
      <c r="X20" s="78">
        <v>8617.01</v>
      </c>
      <c r="Y20" s="4" t="s">
        <v>68</v>
      </c>
    </row>
    <row r="21" spans="1:25" ht="15.5" x14ac:dyDescent="0.35">
      <c r="C21" s="136">
        <v>2</v>
      </c>
      <c r="D21" s="135" t="s">
        <v>69</v>
      </c>
      <c r="E21" s="137"/>
      <c r="F21" s="78">
        <v>5187</v>
      </c>
      <c r="N21" s="136">
        <v>2</v>
      </c>
      <c r="O21" s="135" t="s">
        <v>70</v>
      </c>
      <c r="P21" s="137"/>
      <c r="Q21" s="78">
        <f>S15</f>
        <v>0</v>
      </c>
      <c r="S21" s="79" t="s">
        <v>71</v>
      </c>
      <c r="X21" s="78">
        <f>X15</f>
        <v>10285.116</v>
      </c>
    </row>
    <row r="22" spans="1:25" ht="15.5" x14ac:dyDescent="0.35">
      <c r="C22" s="136">
        <v>3</v>
      </c>
      <c r="D22" s="135" t="s">
        <v>72</v>
      </c>
      <c r="E22" s="137"/>
      <c r="F22" s="78">
        <v>269.7</v>
      </c>
      <c r="N22" s="136">
        <v>3</v>
      </c>
      <c r="O22" s="135" t="s">
        <v>73</v>
      </c>
      <c r="P22" s="137"/>
      <c r="Q22" s="78">
        <f>T15</f>
        <v>3555.7999999999997</v>
      </c>
      <c r="S22" s="79" t="s">
        <v>74</v>
      </c>
      <c r="X22" s="78">
        <f>X20+X21</f>
        <v>18902.126</v>
      </c>
    </row>
    <row r="23" spans="1:25" ht="16" thickBot="1" x14ac:dyDescent="0.4">
      <c r="C23" s="135"/>
      <c r="D23" s="135" t="s">
        <v>53</v>
      </c>
      <c r="E23" s="80">
        <f>SUM(E20:E22)</f>
        <v>5456.7</v>
      </c>
      <c r="F23" s="80">
        <f>SUM(F21:F22)</f>
        <v>5456.7</v>
      </c>
      <c r="N23" s="136">
        <v>4</v>
      </c>
      <c r="O23" s="135" t="s">
        <v>69</v>
      </c>
      <c r="P23" s="137"/>
      <c r="Q23" s="78">
        <f>U15</f>
        <v>6408.3</v>
      </c>
      <c r="S23" s="79" t="s">
        <v>75</v>
      </c>
      <c r="X23" s="80">
        <v>6948.15</v>
      </c>
      <c r="Y23" s="4" t="s">
        <v>68</v>
      </c>
    </row>
    <row r="24" spans="1:25" ht="16.5" thickTop="1" thickBot="1" x14ac:dyDescent="0.4">
      <c r="N24" s="136">
        <v>5</v>
      </c>
      <c r="O24" s="135" t="s">
        <v>72</v>
      </c>
      <c r="P24" s="137"/>
      <c r="Q24" s="78">
        <f>V15</f>
        <v>384.5</v>
      </c>
      <c r="S24" s="79" t="s">
        <v>76</v>
      </c>
      <c r="X24" s="80">
        <f>X22-X23</f>
        <v>11953.976000000001</v>
      </c>
    </row>
    <row r="25" spans="1:25" ht="16.5" thickTop="1" thickBot="1" x14ac:dyDescent="0.4">
      <c r="N25" s="136">
        <v>6</v>
      </c>
      <c r="O25" s="135" t="s">
        <v>77</v>
      </c>
      <c r="P25" s="78">
        <f>W15</f>
        <v>63.484000000000002</v>
      </c>
      <c r="Q25" s="137"/>
      <c r="S25" s="1" t="s">
        <v>78</v>
      </c>
      <c r="X25" s="80">
        <f>X24</f>
        <v>11953.976000000001</v>
      </c>
    </row>
    <row r="26" spans="1:25" ht="16" thickTop="1" x14ac:dyDescent="0.35">
      <c r="A26" s="105"/>
      <c r="B26" s="105"/>
      <c r="C26" s="105"/>
      <c r="D26" s="18"/>
      <c r="E26" s="105"/>
      <c r="F26" s="105"/>
      <c r="G26" s="106"/>
      <c r="H26" s="138"/>
      <c r="I26" s="105"/>
      <c r="N26" s="136">
        <v>7</v>
      </c>
      <c r="O26" s="135" t="s">
        <v>79</v>
      </c>
      <c r="P26" s="78">
        <f>X15</f>
        <v>10285.116</v>
      </c>
      <c r="Q26" s="137"/>
      <c r="S26" s="1"/>
    </row>
    <row r="27" spans="1:25" ht="16" thickBot="1" x14ac:dyDescent="0.4">
      <c r="A27" s="90"/>
      <c r="B27" s="90"/>
      <c r="C27" s="90"/>
      <c r="D27" s="90"/>
      <c r="E27" s="90"/>
      <c r="F27" s="90"/>
      <c r="G27" s="43"/>
      <c r="H27" s="43"/>
      <c r="I27" s="90"/>
      <c r="N27" s="135"/>
      <c r="O27" s="135" t="s">
        <v>53</v>
      </c>
      <c r="P27" s="80">
        <f>SUM(P20:P26)</f>
        <v>10348.6</v>
      </c>
      <c r="Q27" s="80">
        <f>SUM(Q20:Q26)</f>
        <v>10348.6</v>
      </c>
      <c r="S27" s="1"/>
    </row>
    <row r="28" spans="1:25" ht="12" thickTop="1" x14ac:dyDescent="0.25">
      <c r="A28" s="68"/>
      <c r="B28" s="68"/>
      <c r="C28" s="68"/>
      <c r="D28" s="91"/>
      <c r="E28" s="91"/>
      <c r="F28" s="91"/>
      <c r="G28" s="69"/>
      <c r="H28" s="69"/>
      <c r="I28" s="68"/>
    </row>
    <row r="29" spans="1:25" ht="11.5" x14ac:dyDescent="0.25">
      <c r="A29" s="68"/>
      <c r="B29" s="92"/>
      <c r="C29" s="92"/>
      <c r="D29" s="91"/>
      <c r="E29" s="91"/>
      <c r="F29" s="91"/>
      <c r="G29" s="91"/>
      <c r="H29" s="91"/>
      <c r="I29" s="68"/>
    </row>
    <row r="30" spans="1:25" ht="14" x14ac:dyDescent="0.3">
      <c r="A30" s="90"/>
      <c r="B30" s="139"/>
      <c r="C30" s="140"/>
      <c r="D30" s="141"/>
      <c r="E30" s="140"/>
      <c r="F30" s="139"/>
      <c r="G30" s="142"/>
      <c r="H30" s="142"/>
      <c r="I30" s="93"/>
    </row>
    <row r="31" spans="1:25" ht="14" x14ac:dyDescent="0.3">
      <c r="A31" s="90"/>
      <c r="B31" s="139"/>
      <c r="C31" s="140"/>
      <c r="D31" s="141"/>
      <c r="E31" s="140"/>
      <c r="F31" s="139"/>
      <c r="G31" s="142"/>
      <c r="H31" s="142"/>
      <c r="I31" s="93"/>
    </row>
    <row r="32" spans="1:25" ht="14" x14ac:dyDescent="0.3">
      <c r="A32" s="90"/>
      <c r="B32" s="139"/>
      <c r="C32" s="140"/>
      <c r="D32" s="143"/>
      <c r="E32" s="140"/>
      <c r="F32" s="139"/>
      <c r="G32" s="142"/>
      <c r="H32" s="142"/>
      <c r="I32" s="93"/>
    </row>
    <row r="33" spans="1:9" ht="14" x14ac:dyDescent="0.3">
      <c r="A33" s="90"/>
      <c r="B33" s="139"/>
      <c r="C33" s="140"/>
      <c r="D33" s="141"/>
      <c r="E33" s="140"/>
      <c r="F33" s="139"/>
      <c r="G33" s="142"/>
      <c r="H33" s="142"/>
      <c r="I33" s="93"/>
    </row>
    <row r="34" spans="1:9" ht="14" x14ac:dyDescent="0.3">
      <c r="A34" s="90"/>
      <c r="B34" s="139"/>
      <c r="C34" s="140"/>
      <c r="D34" s="141"/>
      <c r="E34" s="140"/>
      <c r="F34" s="139"/>
      <c r="G34" s="142"/>
      <c r="H34" s="142"/>
      <c r="I34" s="93"/>
    </row>
    <row r="35" spans="1:9" ht="14" x14ac:dyDescent="0.3">
      <c r="A35" s="90"/>
      <c r="B35" s="139"/>
      <c r="C35" s="140"/>
      <c r="D35" s="141"/>
      <c r="E35" s="140"/>
      <c r="F35" s="139"/>
      <c r="G35" s="142"/>
      <c r="H35" s="142"/>
      <c r="I35" s="93"/>
    </row>
  </sheetData>
  <mergeCells count="1">
    <mergeCell ref="S19:X19"/>
  </mergeCells>
  <printOptions horizontalCentered="1"/>
  <pageMargins left="0.25" right="0.25" top="0.5" bottom="0.5" header="0.5" footer="0.5"/>
  <pageSetup scale="97" orientation="landscape" r:id="rId1"/>
  <headerFooter alignWithMargins="0"/>
  <colBreaks count="1" manualBreakCount="1">
    <brk id="1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47"/>
  <sheetViews>
    <sheetView zoomScaleNormal="100" workbookViewId="0">
      <selection activeCell="B2" sqref="B2"/>
    </sheetView>
  </sheetViews>
  <sheetFormatPr defaultRowHeight="12.5" x14ac:dyDescent="0.25"/>
  <cols>
    <col min="1" max="1" width="1.453125" style="87" customWidth="1"/>
    <col min="2" max="2" width="5.54296875" style="87" customWidth="1"/>
    <col min="3" max="3" width="3.54296875" style="87" customWidth="1"/>
    <col min="4" max="4" width="36.54296875" style="87" customWidth="1"/>
    <col min="5" max="5" width="7" style="87" customWidth="1"/>
    <col min="6" max="7" width="11.54296875" style="87" bestFit="1" customWidth="1"/>
    <col min="8" max="8" width="12.1796875" style="87" customWidth="1"/>
    <col min="9" max="9" width="12.7265625" style="87" bestFit="1" customWidth="1"/>
    <col min="10" max="10" width="1.453125" style="87" customWidth="1"/>
    <col min="11" max="256" width="9.1796875" style="87"/>
  </cols>
  <sheetData>
    <row r="1" spans="1:10" ht="15.5" x14ac:dyDescent="0.35">
      <c r="A1" s="84" t="e">
        <f>#REF!</f>
        <v>#REF!</v>
      </c>
      <c r="B1" s="84"/>
      <c r="C1" s="84"/>
      <c r="D1" s="84"/>
      <c r="E1" s="85" t="s">
        <v>1</v>
      </c>
      <c r="F1" s="144" t="str">
        <f>'10-1 - 10-4 AR Led own'!F1</f>
        <v>Dhruv Patil</v>
      </c>
      <c r="G1" s="86"/>
      <c r="H1" s="84"/>
      <c r="I1" s="84"/>
      <c r="J1" s="84"/>
    </row>
    <row r="2" spans="1:10" ht="15.5" x14ac:dyDescent="0.35">
      <c r="A2" s="84" t="e">
        <f>#REF!</f>
        <v>#REF!</v>
      </c>
      <c r="B2" s="84"/>
      <c r="C2" s="84"/>
      <c r="D2" s="84"/>
      <c r="E2" s="84"/>
      <c r="F2" s="84"/>
      <c r="G2" s="84"/>
      <c r="H2" s="84"/>
      <c r="I2" s="84"/>
      <c r="J2" s="84"/>
    </row>
    <row r="3" spans="1:10" ht="15.5" x14ac:dyDescent="0.35">
      <c r="A3" s="84"/>
      <c r="B3" s="84"/>
      <c r="C3" s="84"/>
      <c r="D3" s="84"/>
      <c r="E3" s="84"/>
      <c r="F3" s="84"/>
      <c r="G3" s="84"/>
      <c r="H3" s="84"/>
      <c r="I3" s="84"/>
      <c r="J3" s="84"/>
    </row>
    <row r="5" spans="1:10" ht="14" x14ac:dyDescent="0.3">
      <c r="A5" s="145"/>
      <c r="B5" s="146"/>
      <c r="C5" s="146" t="s">
        <v>80</v>
      </c>
      <c r="D5" s="147" t="s">
        <v>81</v>
      </c>
      <c r="E5" s="145"/>
      <c r="F5" s="146"/>
      <c r="G5" s="146"/>
      <c r="H5" s="146" t="s">
        <v>82</v>
      </c>
      <c r="I5" s="147">
        <v>1110</v>
      </c>
      <c r="J5" s="145"/>
    </row>
    <row r="6" spans="1:10" ht="13" thickBot="1" x14ac:dyDescent="0.3">
      <c r="A6" s="148"/>
      <c r="B6" s="148"/>
      <c r="C6" s="148"/>
      <c r="D6" s="148"/>
      <c r="E6" s="148"/>
      <c r="F6" s="148"/>
      <c r="G6" s="148"/>
      <c r="H6" s="148"/>
      <c r="I6" s="148"/>
      <c r="J6" s="148"/>
    </row>
    <row r="7" spans="1:10" ht="13" thickTop="1" x14ac:dyDescent="0.25">
      <c r="A7" s="149"/>
      <c r="B7" s="150"/>
      <c r="C7" s="145"/>
      <c r="D7" s="151"/>
      <c r="E7" s="151" t="s">
        <v>8</v>
      </c>
      <c r="F7" s="151"/>
      <c r="G7" s="151"/>
      <c r="H7" s="152" t="s">
        <v>14</v>
      </c>
      <c r="I7" s="153"/>
      <c r="J7" s="154"/>
    </row>
    <row r="8" spans="1:10" ht="13" thickBot="1" x14ac:dyDescent="0.3">
      <c r="A8" s="155"/>
      <c r="B8" s="156" t="s">
        <v>10</v>
      </c>
      <c r="C8" s="157"/>
      <c r="D8" s="158" t="s">
        <v>11</v>
      </c>
      <c r="E8" s="158" t="s">
        <v>12</v>
      </c>
      <c r="F8" s="158" t="s">
        <v>9</v>
      </c>
      <c r="G8" s="158" t="s">
        <v>13</v>
      </c>
      <c r="H8" s="158" t="s">
        <v>9</v>
      </c>
      <c r="I8" s="158" t="s">
        <v>13</v>
      </c>
      <c r="J8" s="159"/>
    </row>
    <row r="9" spans="1:10" ht="14.5" thickTop="1" x14ac:dyDescent="0.3">
      <c r="A9" s="160"/>
      <c r="B9" s="161" t="s">
        <v>15</v>
      </c>
      <c r="C9" s="102">
        <v>1</v>
      </c>
      <c r="D9" s="162" t="s">
        <v>16</v>
      </c>
      <c r="E9" s="88" t="s">
        <v>47</v>
      </c>
      <c r="F9" s="122"/>
      <c r="G9" s="122"/>
      <c r="H9" s="122">
        <v>8617.01</v>
      </c>
      <c r="I9" s="122"/>
      <c r="J9" s="163"/>
    </row>
    <row r="10" spans="1:10" ht="14" x14ac:dyDescent="0.3">
      <c r="A10" s="160"/>
      <c r="B10" s="161"/>
      <c r="C10" s="102">
        <v>30</v>
      </c>
      <c r="D10" s="162"/>
      <c r="E10" s="102" t="s">
        <v>83</v>
      </c>
      <c r="F10" s="122"/>
      <c r="G10" s="122">
        <v>6948.15</v>
      </c>
      <c r="H10" s="122">
        <f>H9-G10</f>
        <v>1668.8600000000006</v>
      </c>
      <c r="I10" s="122"/>
      <c r="J10" s="163"/>
    </row>
    <row r="11" spans="1:10" ht="14" x14ac:dyDescent="0.3">
      <c r="A11" s="160"/>
      <c r="B11" s="161"/>
      <c r="C11" s="102">
        <v>30</v>
      </c>
      <c r="D11" s="162"/>
      <c r="E11" s="102" t="s">
        <v>19</v>
      </c>
      <c r="F11" s="122">
        <v>10285.120000000001</v>
      </c>
      <c r="G11" s="122"/>
      <c r="H11" s="122">
        <f>H10+F11</f>
        <v>11953.980000000001</v>
      </c>
      <c r="I11" s="122"/>
      <c r="J11" s="163"/>
    </row>
    <row r="14" spans="1:10" ht="14" x14ac:dyDescent="0.3">
      <c r="A14" s="145"/>
      <c r="B14" s="146"/>
      <c r="C14" s="146" t="s">
        <v>80</v>
      </c>
      <c r="D14" s="147" t="s">
        <v>84</v>
      </c>
      <c r="E14" s="145"/>
      <c r="F14" s="145"/>
      <c r="G14" s="146"/>
      <c r="H14" s="146" t="s">
        <v>82</v>
      </c>
      <c r="I14" s="147">
        <v>1130</v>
      </c>
      <c r="J14" s="145"/>
    </row>
    <row r="15" spans="1:10" ht="13" thickBot="1" x14ac:dyDescent="0.3">
      <c r="A15" s="148"/>
      <c r="B15" s="148"/>
      <c r="C15" s="148"/>
      <c r="D15" s="148"/>
      <c r="E15" s="148"/>
      <c r="F15" s="148"/>
      <c r="G15" s="148"/>
      <c r="H15" s="148"/>
      <c r="I15" s="148"/>
      <c r="J15" s="148"/>
    </row>
    <row r="16" spans="1:10" ht="13" thickTop="1" x14ac:dyDescent="0.25">
      <c r="A16" s="149"/>
      <c r="B16" s="150"/>
      <c r="C16" s="145"/>
      <c r="D16" s="151"/>
      <c r="E16" s="151" t="s">
        <v>8</v>
      </c>
      <c r="F16" s="151"/>
      <c r="G16" s="151"/>
      <c r="H16" s="152" t="s">
        <v>14</v>
      </c>
      <c r="I16" s="153"/>
      <c r="J16" s="154"/>
    </row>
    <row r="17" spans="1:10" ht="13" thickBot="1" x14ac:dyDescent="0.3">
      <c r="A17" s="155"/>
      <c r="B17" s="156" t="s">
        <v>10</v>
      </c>
      <c r="C17" s="157"/>
      <c r="D17" s="158" t="s">
        <v>11</v>
      </c>
      <c r="E17" s="158" t="s">
        <v>12</v>
      </c>
      <c r="F17" s="158" t="s">
        <v>9</v>
      </c>
      <c r="G17" s="158" t="s">
        <v>13</v>
      </c>
      <c r="H17" s="158" t="s">
        <v>9</v>
      </c>
      <c r="I17" s="158" t="s">
        <v>13</v>
      </c>
      <c r="J17" s="159"/>
    </row>
    <row r="18" spans="1:10" ht="14.5" thickTop="1" x14ac:dyDescent="0.3">
      <c r="A18" s="160"/>
      <c r="B18" s="161" t="s">
        <v>15</v>
      </c>
      <c r="C18" s="102">
        <v>1</v>
      </c>
      <c r="D18" s="162"/>
      <c r="E18" s="88" t="s">
        <v>47</v>
      </c>
      <c r="F18" s="122"/>
      <c r="G18" s="122"/>
      <c r="H18" s="122">
        <v>3555.8</v>
      </c>
      <c r="I18" s="122"/>
      <c r="J18" s="163"/>
    </row>
    <row r="19" spans="1:10" ht="14" x14ac:dyDescent="0.3">
      <c r="A19" s="160"/>
      <c r="B19" s="161"/>
      <c r="C19" s="102">
        <v>30</v>
      </c>
      <c r="D19" s="162"/>
      <c r="E19" s="102" t="s">
        <v>18</v>
      </c>
      <c r="F19" s="122">
        <v>5456.7</v>
      </c>
      <c r="G19" s="122"/>
      <c r="H19" s="122">
        <f>H18+F19</f>
        <v>9012.5</v>
      </c>
      <c r="I19" s="122"/>
      <c r="J19" s="163"/>
    </row>
    <row r="20" spans="1:10" ht="14" x14ac:dyDescent="0.3">
      <c r="A20" s="160"/>
      <c r="B20" s="161"/>
      <c r="C20" s="102">
        <v>30</v>
      </c>
      <c r="D20" s="162"/>
      <c r="E20" s="102" t="s">
        <v>19</v>
      </c>
      <c r="F20" s="122"/>
      <c r="G20" s="122">
        <v>3555.8</v>
      </c>
      <c r="H20" s="122">
        <f>H19-G20</f>
        <v>5456.7</v>
      </c>
      <c r="I20" s="122"/>
      <c r="J20" s="163"/>
    </row>
    <row r="22" spans="1:10" x14ac:dyDescent="0.25">
      <c r="A22" s="145"/>
      <c r="B22" s="89"/>
      <c r="C22" s="145"/>
      <c r="D22" s="145"/>
      <c r="E22" s="145"/>
      <c r="F22" s="145"/>
      <c r="G22" s="145"/>
      <c r="H22" s="145"/>
      <c r="I22" s="145"/>
      <c r="J22" s="145"/>
    </row>
    <row r="23" spans="1:10" ht="14" x14ac:dyDescent="0.3">
      <c r="A23" s="145"/>
      <c r="B23" s="146"/>
      <c r="C23" s="146" t="s">
        <v>80</v>
      </c>
      <c r="D23" s="147" t="s">
        <v>85</v>
      </c>
      <c r="E23" s="145"/>
      <c r="F23" s="146"/>
      <c r="G23" s="146"/>
      <c r="H23" s="146" t="s">
        <v>82</v>
      </c>
      <c r="I23" s="147">
        <v>2120</v>
      </c>
      <c r="J23" s="145"/>
    </row>
    <row r="24" spans="1:10" ht="13" thickBot="1" x14ac:dyDescent="0.3">
      <c r="A24" s="148"/>
      <c r="B24" s="148"/>
      <c r="C24" s="148"/>
      <c r="D24" s="148"/>
      <c r="E24" s="148"/>
      <c r="F24" s="148"/>
      <c r="G24" s="148"/>
      <c r="H24" s="148"/>
      <c r="I24" s="148"/>
      <c r="J24" s="148"/>
    </row>
    <row r="25" spans="1:10" ht="13" thickTop="1" x14ac:dyDescent="0.25">
      <c r="A25" s="149"/>
      <c r="B25" s="150"/>
      <c r="C25" s="145"/>
      <c r="D25" s="151"/>
      <c r="E25" s="151" t="s">
        <v>8</v>
      </c>
      <c r="F25" s="151"/>
      <c r="G25" s="151"/>
      <c r="H25" s="152" t="s">
        <v>14</v>
      </c>
      <c r="I25" s="153"/>
      <c r="J25" s="154"/>
    </row>
    <row r="26" spans="1:10" ht="13" thickBot="1" x14ac:dyDescent="0.3">
      <c r="A26" s="155"/>
      <c r="B26" s="156" t="s">
        <v>10</v>
      </c>
      <c r="C26" s="157"/>
      <c r="D26" s="158" t="s">
        <v>11</v>
      </c>
      <c r="E26" s="158" t="s">
        <v>12</v>
      </c>
      <c r="F26" s="158" t="s">
        <v>9</v>
      </c>
      <c r="G26" s="158" t="s">
        <v>13</v>
      </c>
      <c r="H26" s="158" t="s">
        <v>9</v>
      </c>
      <c r="I26" s="158" t="s">
        <v>13</v>
      </c>
      <c r="J26" s="159"/>
    </row>
    <row r="27" spans="1:10" ht="14.5" thickTop="1" x14ac:dyDescent="0.3">
      <c r="A27" s="160"/>
      <c r="B27" s="161" t="s">
        <v>15</v>
      </c>
      <c r="C27" s="102">
        <v>1</v>
      </c>
      <c r="D27" s="162"/>
      <c r="E27" s="88" t="s">
        <v>47</v>
      </c>
      <c r="F27" s="122"/>
      <c r="G27" s="122"/>
      <c r="H27" s="122"/>
      <c r="I27" s="122">
        <v>648.17999999999995</v>
      </c>
      <c r="J27" s="163"/>
    </row>
    <row r="28" spans="1:10" ht="14" x14ac:dyDescent="0.3">
      <c r="A28" s="160"/>
      <c r="B28" s="161"/>
      <c r="C28" s="102">
        <v>30</v>
      </c>
      <c r="D28" s="162"/>
      <c r="E28" s="102" t="s">
        <v>18</v>
      </c>
      <c r="F28" s="122"/>
      <c r="G28" s="122">
        <v>269.7</v>
      </c>
      <c r="H28" s="122"/>
      <c r="I28" s="122">
        <f>I27+G28</f>
        <v>917.87999999999988</v>
      </c>
      <c r="J28" s="163"/>
    </row>
    <row r="29" spans="1:10" ht="14" x14ac:dyDescent="0.3">
      <c r="A29" s="160"/>
      <c r="B29" s="161"/>
      <c r="C29" s="102">
        <v>30</v>
      </c>
      <c r="D29" s="162"/>
      <c r="E29" s="102" t="s">
        <v>19</v>
      </c>
      <c r="F29" s="122"/>
      <c r="G29" s="122">
        <v>384.5</v>
      </c>
      <c r="H29" s="122"/>
      <c r="I29" s="122">
        <f>I28+G29</f>
        <v>1302.3799999999999</v>
      </c>
      <c r="J29" s="163"/>
    </row>
    <row r="32" spans="1:10" ht="14" x14ac:dyDescent="0.3">
      <c r="A32" s="145"/>
      <c r="B32" s="146"/>
      <c r="C32" s="146" t="s">
        <v>80</v>
      </c>
      <c r="D32" s="147" t="s">
        <v>86</v>
      </c>
      <c r="E32" s="145"/>
      <c r="F32" s="146"/>
      <c r="G32" s="146"/>
      <c r="H32" s="146" t="s">
        <v>82</v>
      </c>
      <c r="I32" s="147">
        <v>4110</v>
      </c>
      <c r="J32" s="145"/>
    </row>
    <row r="33" spans="1:10" ht="13" thickBot="1" x14ac:dyDescent="0.3">
      <c r="A33" s="148"/>
      <c r="B33" s="148"/>
      <c r="C33" s="148"/>
      <c r="D33" s="148"/>
      <c r="E33" s="148"/>
      <c r="F33" s="148"/>
      <c r="G33" s="148"/>
      <c r="H33" s="148"/>
      <c r="I33" s="148"/>
      <c r="J33" s="148"/>
    </row>
    <row r="34" spans="1:10" ht="13" thickTop="1" x14ac:dyDescent="0.25">
      <c r="A34" s="149"/>
      <c r="B34" s="150"/>
      <c r="C34" s="145"/>
      <c r="D34" s="151"/>
      <c r="E34" s="151" t="s">
        <v>8</v>
      </c>
      <c r="F34" s="151"/>
      <c r="G34" s="151"/>
      <c r="H34" s="152" t="s">
        <v>14</v>
      </c>
      <c r="I34" s="153"/>
      <c r="J34" s="154"/>
    </row>
    <row r="35" spans="1:10" ht="13" thickBot="1" x14ac:dyDescent="0.3">
      <c r="A35" s="155"/>
      <c r="B35" s="156" t="s">
        <v>10</v>
      </c>
      <c r="C35" s="157"/>
      <c r="D35" s="158" t="s">
        <v>11</v>
      </c>
      <c r="E35" s="158" t="s">
        <v>12</v>
      </c>
      <c r="F35" s="158" t="s">
        <v>9</v>
      </c>
      <c r="G35" s="158" t="s">
        <v>13</v>
      </c>
      <c r="H35" s="158" t="s">
        <v>9</v>
      </c>
      <c r="I35" s="158" t="s">
        <v>13</v>
      </c>
      <c r="J35" s="159"/>
    </row>
    <row r="36" spans="1:10" ht="14.5" thickTop="1" x14ac:dyDescent="0.3">
      <c r="A36" s="160"/>
      <c r="B36" s="161" t="s">
        <v>15</v>
      </c>
      <c r="C36" s="102">
        <v>1</v>
      </c>
      <c r="D36" s="122" t="s">
        <v>16</v>
      </c>
      <c r="E36" s="88" t="s">
        <v>47</v>
      </c>
      <c r="F36" s="122"/>
      <c r="G36" s="122"/>
      <c r="H36" s="122"/>
      <c r="I36" s="122">
        <v>94818.25</v>
      </c>
      <c r="J36" s="163"/>
    </row>
    <row r="37" spans="1:10" ht="14" x14ac:dyDescent="0.3">
      <c r="A37" s="164"/>
      <c r="B37" s="165"/>
      <c r="C37" s="166">
        <v>30</v>
      </c>
      <c r="D37" s="125"/>
      <c r="E37" s="104" t="s">
        <v>18</v>
      </c>
      <c r="F37" s="125"/>
      <c r="G37" s="125">
        <v>5187</v>
      </c>
      <c r="H37" s="125"/>
      <c r="I37" s="125">
        <f>I36+G37</f>
        <v>100005.25</v>
      </c>
      <c r="J37" s="167"/>
    </row>
    <row r="38" spans="1:10" ht="14" x14ac:dyDescent="0.3">
      <c r="A38" s="164"/>
      <c r="B38" s="168"/>
      <c r="C38" s="169">
        <v>30</v>
      </c>
      <c r="D38" s="103"/>
      <c r="E38" s="103" t="s">
        <v>19</v>
      </c>
      <c r="F38" s="103"/>
      <c r="G38" s="103">
        <v>6408.3</v>
      </c>
      <c r="H38" s="103"/>
      <c r="I38" s="125">
        <f>I37+G38</f>
        <v>106413.55</v>
      </c>
      <c r="J38" s="167"/>
    </row>
    <row r="41" spans="1:10" ht="14" x14ac:dyDescent="0.3">
      <c r="A41" s="145"/>
      <c r="B41" s="146"/>
      <c r="C41" s="146" t="s">
        <v>80</v>
      </c>
      <c r="D41" s="147" t="s">
        <v>87</v>
      </c>
      <c r="E41" s="145"/>
      <c r="F41" s="146"/>
      <c r="G41" s="146"/>
      <c r="H41" s="146" t="s">
        <v>82</v>
      </c>
      <c r="I41" s="147">
        <v>4120</v>
      </c>
      <c r="J41" s="145"/>
    </row>
    <row r="42" spans="1:10" ht="13" thickBot="1" x14ac:dyDescent="0.3">
      <c r="A42" s="148"/>
      <c r="B42" s="148"/>
      <c r="C42" s="148"/>
      <c r="D42" s="148"/>
      <c r="E42" s="148"/>
      <c r="F42" s="148"/>
      <c r="G42" s="148"/>
      <c r="H42" s="148"/>
      <c r="I42" s="148"/>
      <c r="J42" s="148"/>
    </row>
    <row r="43" spans="1:10" ht="13" thickTop="1" x14ac:dyDescent="0.25">
      <c r="A43" s="149"/>
      <c r="B43" s="150"/>
      <c r="C43" s="145"/>
      <c r="D43" s="151"/>
      <c r="E43" s="151" t="s">
        <v>8</v>
      </c>
      <c r="F43" s="151"/>
      <c r="G43" s="151"/>
      <c r="H43" s="152" t="s">
        <v>14</v>
      </c>
      <c r="I43" s="153"/>
      <c r="J43" s="154"/>
    </row>
    <row r="44" spans="1:10" ht="13" thickBot="1" x14ac:dyDescent="0.3">
      <c r="A44" s="155"/>
      <c r="B44" s="156" t="s">
        <v>10</v>
      </c>
      <c r="C44" s="157"/>
      <c r="D44" s="158" t="s">
        <v>11</v>
      </c>
      <c r="E44" s="158" t="s">
        <v>12</v>
      </c>
      <c r="F44" s="158" t="s">
        <v>9</v>
      </c>
      <c r="G44" s="158" t="s">
        <v>13</v>
      </c>
      <c r="H44" s="158" t="s">
        <v>9</v>
      </c>
      <c r="I44" s="158" t="s">
        <v>13</v>
      </c>
      <c r="J44" s="159"/>
    </row>
    <row r="45" spans="1:10" ht="14.5" thickTop="1" x14ac:dyDescent="0.3">
      <c r="A45" s="160"/>
      <c r="B45" s="161" t="s">
        <v>15</v>
      </c>
      <c r="C45" s="102">
        <v>1</v>
      </c>
      <c r="D45" s="122" t="s">
        <v>16</v>
      </c>
      <c r="E45" s="88" t="s">
        <v>47</v>
      </c>
      <c r="F45" s="122"/>
      <c r="G45" s="122"/>
      <c r="H45" s="122">
        <v>612.17999999999995</v>
      </c>
      <c r="I45" s="122"/>
      <c r="J45" s="163"/>
    </row>
    <row r="46" spans="1:10" ht="14" x14ac:dyDescent="0.3">
      <c r="A46" s="164"/>
      <c r="B46" s="165"/>
      <c r="C46" s="166">
        <v>30</v>
      </c>
      <c r="D46" s="125"/>
      <c r="E46" s="104" t="s">
        <v>19</v>
      </c>
      <c r="F46" s="125"/>
      <c r="G46" s="125">
        <v>63.48</v>
      </c>
      <c r="H46" s="125">
        <f>H45-G46</f>
        <v>548.69999999999993</v>
      </c>
      <c r="I46" s="125"/>
      <c r="J46" s="167"/>
    </row>
    <row r="47" spans="1:10" ht="14" x14ac:dyDescent="0.3">
      <c r="A47" s="164"/>
      <c r="B47" s="168"/>
      <c r="C47" s="169"/>
      <c r="D47" s="103"/>
      <c r="E47" s="103"/>
      <c r="F47" s="103"/>
      <c r="G47" s="103"/>
      <c r="H47" s="103"/>
      <c r="I47" s="103"/>
      <c r="J47" s="167"/>
    </row>
  </sheetData>
  <pageMargins left="0.7" right="0.7" top="0.75" bottom="0.75" header="0.3" footer="0.3"/>
  <pageSetup scale="8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C9DD730A00614EACC78F91759CD7AE" ma:contentTypeVersion="18" ma:contentTypeDescription="Create a new document." ma:contentTypeScope="" ma:versionID="6bc7a75f680b49b58c96996862c997ef">
  <xsd:schema xmlns:xsd="http://www.w3.org/2001/XMLSchema" xmlns:xs="http://www.w3.org/2001/XMLSchema" xmlns:p="http://schemas.microsoft.com/office/2006/metadata/properties" xmlns:ns3="520dee62-6ab6-4d22-9f70-78740cd71337" xmlns:ns4="4734b7f9-7b41-4329-adb7-09d35b67e326" targetNamespace="http://schemas.microsoft.com/office/2006/metadata/properties" ma:root="true" ma:fieldsID="0c8be0c19e758a24c6c6893b2a59ef54" ns3:_="" ns4:_="">
    <xsd:import namespace="520dee62-6ab6-4d22-9f70-78740cd71337"/>
    <xsd:import namespace="4734b7f9-7b41-4329-adb7-09d35b67e3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0dee62-6ab6-4d22-9f70-78740cd713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4b7f9-7b41-4329-adb7-09d35b67e32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0dee62-6ab6-4d22-9f70-78740cd71337" xsi:nil="true"/>
  </documentManagement>
</p:properties>
</file>

<file path=customXml/itemProps1.xml><?xml version="1.0" encoding="utf-8"?>
<ds:datastoreItem xmlns:ds="http://schemas.openxmlformats.org/officeDocument/2006/customXml" ds:itemID="{32D27754-40F4-42DF-992B-57BD215066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C9A556-B0D4-43CF-A706-FFA3766868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0dee62-6ab6-4d22-9f70-78740cd71337"/>
    <ds:schemaRef ds:uri="4734b7f9-7b41-4329-adb7-09d35b67e3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6EF47D-1DA4-4429-8FFB-654B204D35BF}">
  <ds:schemaRefs>
    <ds:schemaRef ds:uri="http://schemas.microsoft.com/office/2006/metadata/properties"/>
    <ds:schemaRef ds:uri="http://schemas.microsoft.com/office/infopath/2007/PartnerControls"/>
    <ds:schemaRef ds:uri="520dee62-6ab6-4d22-9f70-78740cd7133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10-1 - 10-4 AR Led own</vt:lpstr>
      <vt:lpstr>10-1 - 10-4 SJ&amp;CR Jrnl own</vt:lpstr>
      <vt:lpstr>10-1 - 10-4 GL 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2008-02-28T02:55:22Z</dcterms:created>
  <dcterms:modified xsi:type="dcterms:W3CDTF">2024-02-25T01:07:24Z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0x010100C7C9DD730A00614EACC78F91759CD7AE</vt:lpwstr>
  </property>
  <property fmtid="{D5CDD505-2E9C-101B-9397-08002B2CF9AE}" pid="3" name="Order">
    <vt:r8>16400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