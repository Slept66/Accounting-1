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327"/>
  <workbookPr codeName="ThisWorkbook" checkCompatibility="1" defaultThemeVersion="124226"/>
  <mc:AlternateContent xmlns:mc="http://schemas.openxmlformats.org/markup-compatibility/2006">
    <mc:Choice Requires="x15">
      <x15ac:absPath xmlns:x15ac="http://schemas.microsoft.com/office/spreadsheetml/2010/11/ac" url="https://moonarea-my.sharepoint.com/personal/51102_moonarea_net/Documents/Accounting 1/Unit 10/"/>
    </mc:Choice>
  </mc:AlternateContent>
  <xr:revisionPtr revIDLastSave="116" documentId="8_{48323ED2-7A48-4049-9E22-BEA7F5273B58}" xr6:coauthVersionLast="47" xr6:coauthVersionMax="47" xr10:uidLastSave="{96E80E20-4C34-46F5-8CE3-37624C01667A}"/>
  <bookViews>
    <workbookView xWindow="-110" yWindow="-110" windowWidth="19420" windowHeight="10420" activeTab="1" xr2:uid="{00000000-000D-0000-FFFF-FFFF00000000}"/>
  </bookViews>
  <sheets>
    <sheet name="P10-1 - 10-2 AR Led" sheetId="17" r:id="rId1"/>
    <sheet name="P10-1 - 10-2 SJ&amp;CR Jrnl " sheetId="16" r:id="rId2"/>
    <sheet name="P10-1 - 10-2 GL" sheetId="15" r:id="rId3"/>
  </sheets>
  <externalReferences>
    <externalReference r:id="rId4"/>
  </externalReferences>
  <definedNames>
    <definedName name="answer2" localSheetId="0">#REF!,#REF!,#REF!,#REF!,#REF!,#REF!,#REF!</definedName>
    <definedName name="answer2" localSheetId="2">#REF!,#REF!,#REF!,#REF!,#REF!,#REF!,#REF!</definedName>
    <definedName name="answer2" localSheetId="1">#REF!,#REF!,#REF!,#REF!,#REF!,#REF!,#REF!</definedName>
    <definedName name="answer2">#REF!,#REF!,#REF!,#REF!,#REF!,#REF!,#REF!</definedName>
    <definedName name="answer3">'[1]2-2 Accounts Receivable Ledger'!$B$7:$H$10,'[1]2-2 Accounts Receivable Ledger'!$B$17:$H$20,'[1]2-2 Accounts Receivable Ledger'!$B$27:$H$30</definedName>
    <definedName name="total2" localSheetId="0">#REF!,#REF!,#REF!,#REF!,#REF!,#REF!,#REF!</definedName>
    <definedName name="total2" localSheetId="2">#REF!,#REF!,#REF!,#REF!,#REF!,#REF!,#REF!</definedName>
    <definedName name="total2" localSheetId="1">#REF!,#REF!,#REF!,#REF!,#REF!,#REF!,#REF!</definedName>
    <definedName name="total2">#REF!,#REF!,#REF!,#REF!,#REF!,#REF!,#REF!</definedName>
    <definedName name="total3">'[1]2-2 Accounts Receivable Ledger'!$D$11:$H$11,'[1]2-2 Accounts Receivable Ledger'!$D$21:$H$21,'[1]2-2 Accounts Receivable Ledger'!$D$31:$H$31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25" i="16" l="1"/>
  <c r="E25" i="16"/>
  <c r="F24" i="16"/>
  <c r="F23" i="16"/>
  <c r="E22" i="16"/>
  <c r="I28" i="15"/>
  <c r="I37" i="15"/>
  <c r="H19" i="15"/>
  <c r="H13" i="17"/>
  <c r="H22" i="17"/>
  <c r="H52" i="17"/>
  <c r="H32" i="17"/>
  <c r="H12" i="17"/>
  <c r="H42" i="17"/>
  <c r="I16" i="16" l="1"/>
  <c r="H16" i="16"/>
  <c r="G16" i="16"/>
  <c r="G11" i="16"/>
  <c r="G15" i="16"/>
  <c r="I15" i="16"/>
  <c r="D15" i="16"/>
  <c r="G14" i="16"/>
  <c r="I13" i="16"/>
  <c r="I14" i="16"/>
  <c r="G12" i="16"/>
  <c r="G13" i="16"/>
  <c r="I11" i="16"/>
  <c r="G10" i="16"/>
  <c r="I10" i="16"/>
  <c r="Q1" i="16" l="1"/>
  <c r="Y11" i="16"/>
  <c r="Y12" i="16" s="1"/>
  <c r="Y13" i="16" s="1"/>
  <c r="Y14" i="16" s="1"/>
  <c r="Y15" i="16" s="1"/>
  <c r="Y16" i="16" s="1"/>
  <c r="Y17" i="16" s="1"/>
  <c r="Y18" i="16" s="1"/>
  <c r="L11" i="16"/>
  <c r="L12" i="16" s="1"/>
  <c r="L13" i="16" s="1"/>
  <c r="L14" i="16" s="1"/>
  <c r="L15" i="16" s="1"/>
  <c r="L16" i="16" s="1"/>
  <c r="L17" i="16" s="1"/>
  <c r="L18" i="16" s="1"/>
  <c r="L2" i="16"/>
  <c r="L1" i="16"/>
  <c r="H10" i="15"/>
</calcChain>
</file>

<file path=xl/sharedStrings.xml><?xml version="1.0" encoding="utf-8"?>
<sst xmlns="http://schemas.openxmlformats.org/spreadsheetml/2006/main" count="256" uniqueCount="81">
  <si>
    <t>Name:</t>
  </si>
  <si>
    <t>Accounts Receivable Ledger</t>
  </si>
  <si>
    <t>CUSTOMER</t>
  </si>
  <si>
    <t>CUSTOMER NO.</t>
  </si>
  <si>
    <t>POST.</t>
  </si>
  <si>
    <t>DEBIT</t>
  </si>
  <si>
    <t>DATE</t>
  </si>
  <si>
    <t>ITEM</t>
  </si>
  <si>
    <t>REF.</t>
  </si>
  <si>
    <t>CREDIT</t>
  </si>
  <si>
    <t>BALANCE</t>
  </si>
  <si>
    <t>Balance</t>
  </si>
  <si>
    <t>P</t>
  </si>
  <si>
    <t>SALES JOURNAL</t>
  </si>
  <si>
    <t>PAGE</t>
  </si>
  <si>
    <t>ACCOUNTS</t>
  </si>
  <si>
    <t>SALES TAX</t>
  </si>
  <si>
    <t>SALE</t>
  </si>
  <si>
    <t>RECEIVABLE</t>
  </si>
  <si>
    <t>SALES</t>
  </si>
  <si>
    <t>PAYABLE</t>
  </si>
  <si>
    <t>ACCOUNT DEBITED</t>
  </si>
  <si>
    <t>NO.</t>
  </si>
  <si>
    <t xml:space="preserve">                                                             </t>
  </si>
  <si>
    <t>CASH RECEIPTS JOURNAL</t>
  </si>
  <si>
    <t>DOC.</t>
  </si>
  <si>
    <t>GENERAL</t>
  </si>
  <si>
    <t>DISCOUNT</t>
  </si>
  <si>
    <t>CASH</t>
  </si>
  <si>
    <t>ACCOUNT TITLE</t>
  </si>
  <si>
    <t>Sales Tax Payable</t>
  </si>
  <si>
    <t>`</t>
  </si>
  <si>
    <t>Col</t>
  </si>
  <si>
    <t>No.</t>
  </si>
  <si>
    <t>Column Title</t>
  </si>
  <si>
    <t>Totals</t>
  </si>
  <si>
    <t>Cash Proof</t>
  </si>
  <si>
    <t>A/R Debit</t>
  </si>
  <si>
    <t>General Debit</t>
  </si>
  <si>
    <t>Cash on hand at the beginning of the month</t>
  </si>
  <si>
    <t>Sales Credit</t>
  </si>
  <si>
    <t>General Credit</t>
  </si>
  <si>
    <r>
      <t xml:space="preserve">Plus </t>
    </r>
    <r>
      <rPr>
        <sz val="12"/>
        <rFont val="Arial"/>
        <family val="2"/>
      </rPr>
      <t>total cash received during the month</t>
    </r>
  </si>
  <si>
    <t>Sales Tax Payable Credit</t>
  </si>
  <si>
    <t>A/R Credit</t>
  </si>
  <si>
    <r>
      <t>Equals</t>
    </r>
    <r>
      <rPr>
        <sz val="12"/>
        <rFont val="Arial"/>
        <family val="2"/>
      </rPr>
      <t xml:space="preserve"> total</t>
    </r>
  </si>
  <si>
    <r>
      <t xml:space="preserve">Less </t>
    </r>
    <r>
      <rPr>
        <sz val="12"/>
        <rFont val="Arial"/>
        <family val="2"/>
      </rPr>
      <t>total cash paid during the month</t>
    </r>
  </si>
  <si>
    <r>
      <t xml:space="preserve">Equals </t>
    </r>
    <r>
      <rPr>
        <sz val="12"/>
        <rFont val="Arial"/>
        <family val="2"/>
      </rPr>
      <t>cash balance on hand at end of month</t>
    </r>
  </si>
  <si>
    <t>Sales Discount Debit</t>
  </si>
  <si>
    <t>Checkbook balance on next unused check stub</t>
  </si>
  <si>
    <t>Cash Debit</t>
  </si>
  <si>
    <t>ACCOUNT</t>
  </si>
  <si>
    <t>Cash</t>
  </si>
  <si>
    <t>ACCOUNT NO.</t>
  </si>
  <si>
    <t>ü</t>
  </si>
  <si>
    <t>Accounts Receivable</t>
  </si>
  <si>
    <t>Sales</t>
  </si>
  <si>
    <t>Sales Discount</t>
  </si>
  <si>
    <t>Nov</t>
  </si>
  <si>
    <t>Central Medical Clinic</t>
  </si>
  <si>
    <t>Fairview Hospital</t>
  </si>
  <si>
    <t>Mason College</t>
  </si>
  <si>
    <t>Paulson Medical Clinic</t>
  </si>
  <si>
    <t>Trannon Emercency Center</t>
  </si>
  <si>
    <t>CR11</t>
  </si>
  <si>
    <t>S11</t>
  </si>
  <si>
    <t>CP11</t>
  </si>
  <si>
    <t>page 313</t>
  </si>
  <si>
    <t>Application Problem 10-1 thru 10-2</t>
  </si>
  <si>
    <t>Dhruv Patil</t>
  </si>
  <si>
    <t>S589</t>
  </si>
  <si>
    <t>Centeral Medical Clinic</t>
  </si>
  <si>
    <t>S590</t>
  </si>
  <si>
    <t>S591</t>
  </si>
  <si>
    <t>Trannon Emergency Center</t>
  </si>
  <si>
    <t>S592</t>
  </si>
  <si>
    <t>S593</t>
  </si>
  <si>
    <t>S594</t>
  </si>
  <si>
    <t>(1130)</t>
  </si>
  <si>
    <t>(4110)</t>
  </si>
  <si>
    <t>(2120)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</si>
</sst>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(&quot;$&quot;* #,##0.00_);_(&quot;$&quot;* \(#,##0.00\);_(&quot;$&quot;* &quot;-&quot;??_);_(@_)"/>
    <numFmt numFmtId="43" formatCode="_(* #,##0.00_);_(* \(#,##0.00\);_(* &quot;-&quot;??_);_(@_)"/>
  </numFmts>
  <fonts count="23" x14ac:knownFonts="1">
    <font>
      <sz val="10"/>
      <name val="Arial"/>
    </font>
    <font>
      <sz val="10"/>
      <name val="Arial"/>
    </font>
    <font>
      <sz val="8"/>
      <name val="Arial"/>
    </font>
    <font>
      <sz val="12"/>
      <name val="Arial"/>
      <family val="2"/>
    </font>
    <font>
      <sz val="12"/>
      <name val="Arial"/>
    </font>
    <font>
      <b/>
      <sz val="12"/>
      <name val="Arial"/>
    </font>
    <font>
      <b/>
      <sz val="12"/>
      <name val="Arial"/>
      <family val="2"/>
    </font>
    <font>
      <b/>
      <sz val="16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11"/>
      <name val="Wingdings 2"/>
      <family val="1"/>
      <charset val="2"/>
    </font>
    <font>
      <sz val="6"/>
      <name val="Arial"/>
    </font>
    <font>
      <sz val="9"/>
      <name val="Arial"/>
    </font>
    <font>
      <sz val="11"/>
      <name val="Arial"/>
    </font>
    <font>
      <sz val="7"/>
      <name val="Arial"/>
    </font>
    <font>
      <sz val="11"/>
      <name val="Arial"/>
      <family val="2"/>
    </font>
    <font>
      <b/>
      <sz val="11"/>
      <name val="Arial"/>
      <family val="2"/>
    </font>
    <font>
      <sz val="10"/>
      <name val="Arial"/>
    </font>
    <font>
      <i/>
      <sz val="12"/>
      <name val="Arial"/>
      <family val="2"/>
    </font>
    <font>
      <sz val="9"/>
      <name val="Arial"/>
      <family val="2"/>
    </font>
    <font>
      <sz val="6"/>
      <name val="Arial"/>
      <family val="2"/>
    </font>
    <font>
      <sz val="11"/>
      <name val="Wingdings"/>
      <charset val="2"/>
    </font>
    <font>
      <sz val="8"/>
      <color rgb="FFFF0000"/>
      <name val="Arial"/>
      <family val="2"/>
    </font>
  </fonts>
  <fills count="2">
    <fill>
      <patternFill patternType="none"/>
    </fill>
    <fill>
      <patternFill patternType="gray125"/>
    </fill>
  </fills>
  <borders count="3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double">
        <color indexed="64"/>
      </right>
      <top style="double">
        <color indexed="64"/>
      </top>
      <bottom/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double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double">
        <color indexed="64"/>
      </bottom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7" fillId="0" borderId="0" applyFont="0" applyFill="0" applyBorder="0" applyAlignment="0" applyProtection="0"/>
    <xf numFmtId="0" fontId="9" fillId="0" borderId="0"/>
  </cellStyleXfs>
  <cellXfs count="182">
    <xf numFmtId="0" fontId="0" fillId="0" borderId="0" xfId="0"/>
    <xf numFmtId="0" fontId="3" fillId="0" borderId="0" xfId="0" applyFont="1"/>
    <xf numFmtId="0" fontId="4" fillId="0" borderId="0" xfId="0" applyFont="1" applyAlignment="1">
      <alignment horizontal="right"/>
    </xf>
    <xf numFmtId="0" fontId="5" fillId="0" borderId="1" xfId="0" applyFont="1" applyBorder="1" applyAlignment="1" applyProtection="1">
      <alignment horizontal="left"/>
      <protection locked="0"/>
    </xf>
    <xf numFmtId="0" fontId="2" fillId="0" borderId="1" xfId="0" applyFont="1" applyBorder="1"/>
    <xf numFmtId="0" fontId="2" fillId="0" borderId="0" xfId="0" applyFont="1"/>
    <xf numFmtId="0" fontId="4" fillId="0" borderId="0" xfId="0" applyFont="1"/>
    <xf numFmtId="0" fontId="6" fillId="0" borderId="0" xfId="0" applyFont="1"/>
    <xf numFmtId="0" fontId="7" fillId="0" borderId="0" xfId="0" applyFont="1"/>
    <xf numFmtId="0" fontId="8" fillId="0" borderId="0" xfId="0" applyFont="1"/>
    <xf numFmtId="44" fontId="9" fillId="0" borderId="1" xfId="2" applyFont="1" applyBorder="1" applyAlignment="1">
      <alignment horizontal="centerContinuous"/>
    </xf>
    <xf numFmtId="44" fontId="3" fillId="0" borderId="1" xfId="2" applyFont="1" applyBorder="1" applyAlignment="1">
      <alignment horizontal="centerContinuous"/>
    </xf>
    <xf numFmtId="0" fontId="3" fillId="0" borderId="1" xfId="0" applyFont="1" applyBorder="1" applyAlignment="1">
      <alignment horizontal="right"/>
    </xf>
    <xf numFmtId="0" fontId="3" fillId="0" borderId="2" xfId="0" applyFont="1" applyBorder="1"/>
    <xf numFmtId="0" fontId="4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 applyAlignment="1">
      <alignment horizontal="center"/>
    </xf>
    <xf numFmtId="0" fontId="4" fillId="0" borderId="5" xfId="0" applyFont="1" applyBorder="1" applyAlignment="1">
      <alignment horizontal="center"/>
    </xf>
    <xf numFmtId="0" fontId="3" fillId="0" borderId="6" xfId="0" applyFont="1" applyBorder="1" applyAlignment="1">
      <alignment horizontal="center"/>
    </xf>
    <xf numFmtId="0" fontId="4" fillId="0" borderId="4" xfId="0" applyFont="1" applyBorder="1"/>
    <xf numFmtId="0" fontId="3" fillId="0" borderId="7" xfId="0" applyFont="1" applyBorder="1"/>
    <xf numFmtId="0" fontId="3" fillId="0" borderId="8" xfId="0" applyFont="1" applyBorder="1" applyAlignment="1">
      <alignment horizontal="centerContinuous"/>
    </xf>
    <xf numFmtId="0" fontId="3" fillId="0" borderId="9" xfId="0" applyFont="1" applyBorder="1" applyAlignment="1">
      <alignment horizontal="centerContinuous"/>
    </xf>
    <xf numFmtId="0" fontId="3" fillId="0" borderId="10" xfId="0" applyFont="1" applyBorder="1" applyAlignment="1">
      <alignment horizontal="center"/>
    </xf>
    <xf numFmtId="0" fontId="4" fillId="0" borderId="10" xfId="0" applyFont="1" applyBorder="1" applyAlignment="1">
      <alignment horizontal="center"/>
    </xf>
    <xf numFmtId="0" fontId="4" fillId="0" borderId="8" xfId="0" applyFont="1" applyBorder="1"/>
    <xf numFmtId="0" fontId="3" fillId="0" borderId="11" xfId="0" applyFont="1" applyBorder="1" applyAlignment="1">
      <alignment horizontal="center"/>
    </xf>
    <xf numFmtId="0" fontId="3" fillId="0" borderId="0" xfId="0" applyFont="1" applyAlignment="1">
      <alignment horizontal="center"/>
    </xf>
    <xf numFmtId="0" fontId="3" fillId="0" borderId="12" xfId="0" applyFont="1" applyBorder="1" applyAlignment="1">
      <alignment horizontal="center"/>
    </xf>
    <xf numFmtId="0" fontId="3" fillId="0" borderId="13" xfId="0" applyFont="1" applyBorder="1"/>
    <xf numFmtId="0" fontId="3" fillId="0" borderId="14" xfId="0" applyFont="1" applyBorder="1"/>
    <xf numFmtId="0" fontId="3" fillId="0" borderId="15" xfId="0" applyFont="1" applyBorder="1"/>
    <xf numFmtId="0" fontId="10" fillId="0" borderId="15" xfId="0" applyFont="1" applyBorder="1" applyAlignment="1" applyProtection="1">
      <alignment horizontal="center"/>
      <protection locked="0"/>
    </xf>
    <xf numFmtId="43" fontId="3" fillId="0" borderId="15" xfId="1" applyFont="1" applyBorder="1"/>
    <xf numFmtId="0" fontId="4" fillId="0" borderId="16" xfId="0" applyFont="1" applyBorder="1" applyAlignment="1">
      <alignment horizontal="left"/>
    </xf>
    <xf numFmtId="0" fontId="3" fillId="0" borderId="17" xfId="0" applyFont="1" applyBorder="1"/>
    <xf numFmtId="0" fontId="3" fillId="0" borderId="18" xfId="0" applyFont="1" applyBorder="1"/>
    <xf numFmtId="43" fontId="3" fillId="0" borderId="18" xfId="1" applyFont="1" applyBorder="1"/>
    <xf numFmtId="0" fontId="3" fillId="0" borderId="19" xfId="0" applyFont="1" applyBorder="1"/>
    <xf numFmtId="0" fontId="4" fillId="0" borderId="20" xfId="0" applyFont="1" applyBorder="1" applyAlignment="1">
      <alignment horizontal="left"/>
    </xf>
    <xf numFmtId="0" fontId="3" fillId="0" borderId="1" xfId="0" applyFont="1" applyBorder="1" applyAlignment="1">
      <alignment horizontal="centerContinuous"/>
    </xf>
    <xf numFmtId="16" fontId="3" fillId="0" borderId="14" xfId="0" applyNumberFormat="1" applyFont="1" applyBorder="1"/>
    <xf numFmtId="0" fontId="4" fillId="0" borderId="9" xfId="0" applyFont="1" applyBorder="1"/>
    <xf numFmtId="43" fontId="4" fillId="0" borderId="0" xfId="1" applyFont="1"/>
    <xf numFmtId="43" fontId="4" fillId="0" borderId="0" xfId="1" applyFont="1" applyBorder="1"/>
    <xf numFmtId="43" fontId="2" fillId="0" borderId="0" xfId="0" applyNumberFormat="1" applyFont="1"/>
    <xf numFmtId="0" fontId="4" fillId="0" borderId="1" xfId="0" applyFont="1" applyBorder="1" applyAlignment="1">
      <alignment horizontal="left"/>
    </xf>
    <xf numFmtId="0" fontId="4" fillId="0" borderId="1" xfId="0" applyFont="1" applyBorder="1" applyAlignment="1">
      <alignment horizontal="right"/>
    </xf>
    <xf numFmtId="0" fontId="4" fillId="0" borderId="2" xfId="0" applyFont="1" applyBorder="1" applyAlignment="1">
      <alignment horizontal="left"/>
    </xf>
    <xf numFmtId="0" fontId="11" fillId="0" borderId="2" xfId="0" applyFont="1" applyBorder="1" applyAlignment="1">
      <alignment horizontal="center"/>
    </xf>
    <xf numFmtId="0" fontId="12" fillId="0" borderId="3" xfId="0" applyFont="1" applyBorder="1"/>
    <xf numFmtId="0" fontId="12" fillId="0" borderId="4" xfId="0" applyFont="1" applyBorder="1"/>
    <xf numFmtId="0" fontId="12" fillId="0" borderId="7" xfId="0" applyFont="1" applyBorder="1"/>
    <xf numFmtId="0" fontId="12" fillId="0" borderId="8" xfId="0" applyFont="1" applyBorder="1"/>
    <xf numFmtId="0" fontId="11" fillId="0" borderId="19" xfId="0" applyFont="1" applyBorder="1"/>
    <xf numFmtId="0" fontId="3" fillId="0" borderId="18" xfId="0" applyFont="1" applyBorder="1" applyAlignment="1">
      <alignment horizontal="center"/>
    </xf>
    <xf numFmtId="0" fontId="11" fillId="0" borderId="20" xfId="0" applyFont="1" applyBorder="1" applyAlignment="1">
      <alignment horizontal="left"/>
    </xf>
    <xf numFmtId="0" fontId="11" fillId="0" borderId="13" xfId="0" applyFont="1" applyBorder="1"/>
    <xf numFmtId="0" fontId="13" fillId="0" borderId="1" xfId="0" applyFont="1" applyBorder="1" applyAlignment="1">
      <alignment horizontal="center"/>
    </xf>
    <xf numFmtId="0" fontId="11" fillId="0" borderId="2" xfId="0" applyFont="1" applyBorder="1"/>
    <xf numFmtId="0" fontId="11" fillId="0" borderId="0" xfId="0" applyFont="1" applyAlignment="1">
      <alignment horizontal="center"/>
    </xf>
    <xf numFmtId="0" fontId="12" fillId="0" borderId="21" xfId="0" applyFont="1" applyBorder="1"/>
    <xf numFmtId="0" fontId="2" fillId="0" borderId="22" xfId="0" applyFont="1" applyBorder="1"/>
    <xf numFmtId="0" fontId="2" fillId="0" borderId="23" xfId="0" applyFont="1" applyBorder="1"/>
    <xf numFmtId="0" fontId="2" fillId="0" borderId="12" xfId="0" applyFont="1" applyBorder="1" applyAlignment="1">
      <alignment horizontal="center"/>
    </xf>
    <xf numFmtId="0" fontId="2" fillId="0" borderId="23" xfId="0" applyFont="1" applyBorder="1" applyAlignment="1">
      <alignment horizontal="center" vertical="center"/>
    </xf>
    <xf numFmtId="0" fontId="2" fillId="0" borderId="24" xfId="0" applyFont="1" applyBorder="1" applyAlignment="1">
      <alignment horizontal="center"/>
    </xf>
    <xf numFmtId="0" fontId="2" fillId="0" borderId="12" xfId="0" applyFont="1" applyBorder="1" applyAlignment="1">
      <alignment horizontal="center" vertical="center"/>
    </xf>
    <xf numFmtId="0" fontId="14" fillId="0" borderId="12" xfId="0" applyFont="1" applyBorder="1" applyAlignment="1">
      <alignment horizontal="center" vertical="center"/>
    </xf>
    <xf numFmtId="0" fontId="2" fillId="0" borderId="0" xfId="0" applyFont="1" applyAlignment="1">
      <alignment horizontal="center"/>
    </xf>
    <xf numFmtId="0" fontId="12" fillId="0" borderId="22" xfId="0" applyFont="1" applyBorder="1"/>
    <xf numFmtId="0" fontId="2" fillId="0" borderId="4" xfId="0" applyFont="1" applyBorder="1"/>
    <xf numFmtId="0" fontId="2" fillId="0" borderId="5" xfId="0" applyFont="1" applyBorder="1" applyAlignment="1">
      <alignment horizontal="center"/>
    </xf>
    <xf numFmtId="0" fontId="2" fillId="0" borderId="0" xfId="0" applyFont="1" applyAlignment="1">
      <alignment horizontal="centerContinuous" vertical="center"/>
    </xf>
    <xf numFmtId="0" fontId="2" fillId="0" borderId="1" xfId="0" applyFont="1" applyBorder="1" applyAlignment="1">
      <alignment horizontal="centerContinuous" vertical="center"/>
    </xf>
    <xf numFmtId="0" fontId="2" fillId="0" borderId="25" xfId="0" applyFont="1" applyBorder="1" applyAlignment="1">
      <alignment horizontal="center"/>
    </xf>
    <xf numFmtId="0" fontId="2" fillId="0" borderId="5" xfId="0" applyFont="1" applyBorder="1" applyAlignment="1">
      <alignment horizontal="center" vertical="center"/>
    </xf>
    <xf numFmtId="0" fontId="14" fillId="0" borderId="5" xfId="0" applyFont="1" applyBorder="1" applyAlignment="1">
      <alignment horizontal="center" vertical="center"/>
    </xf>
    <xf numFmtId="0" fontId="2" fillId="0" borderId="8" xfId="0" applyFont="1" applyBorder="1" applyAlignment="1">
      <alignment horizontal="centerContinuous"/>
    </xf>
    <xf numFmtId="0" fontId="2" fillId="0" borderId="9" xfId="0" applyFont="1" applyBorder="1" applyAlignment="1">
      <alignment horizontal="centerContinuous"/>
    </xf>
    <xf numFmtId="0" fontId="2" fillId="0" borderId="10" xfId="0" applyFont="1" applyBorder="1" applyAlignment="1">
      <alignment horizontal="center"/>
    </xf>
    <xf numFmtId="0" fontId="2" fillId="0" borderId="26" xfId="0" applyFont="1" applyBorder="1" applyAlignment="1">
      <alignment horizontal="center"/>
    </xf>
    <xf numFmtId="0" fontId="2" fillId="0" borderId="9" xfId="0" applyFont="1" applyBorder="1" applyAlignment="1">
      <alignment horizontal="center"/>
    </xf>
    <xf numFmtId="0" fontId="2" fillId="0" borderId="27" xfId="0" applyFont="1" applyBorder="1" applyAlignment="1">
      <alignment horizontal="center"/>
    </xf>
    <xf numFmtId="0" fontId="15" fillId="0" borderId="17" xfId="0" applyFont="1" applyBorder="1" applyProtection="1">
      <protection locked="0"/>
    </xf>
    <xf numFmtId="0" fontId="15" fillId="0" borderId="18" xfId="0" applyFont="1" applyBorder="1" applyProtection="1">
      <protection locked="0"/>
    </xf>
    <xf numFmtId="0" fontId="15" fillId="0" borderId="18" xfId="0" applyFont="1" applyBorder="1" applyAlignment="1" applyProtection="1">
      <alignment horizontal="center"/>
      <protection locked="0"/>
    </xf>
    <xf numFmtId="0" fontId="15" fillId="0" borderId="14" xfId="0" applyFont="1" applyBorder="1" applyProtection="1">
      <protection locked="0"/>
    </xf>
    <xf numFmtId="0" fontId="15" fillId="0" borderId="15" xfId="0" applyFont="1" applyBorder="1" applyProtection="1">
      <protection locked="0"/>
    </xf>
    <xf numFmtId="0" fontId="11" fillId="0" borderId="16" xfId="0" applyFont="1" applyBorder="1" applyAlignment="1">
      <alignment horizontal="left"/>
    </xf>
    <xf numFmtId="0" fontId="12" fillId="0" borderId="0" xfId="0" applyFont="1"/>
    <xf numFmtId="0" fontId="12" fillId="0" borderId="0" xfId="0" applyFont="1" applyAlignment="1">
      <alignment horizontal="centerContinuous" vertical="center"/>
    </xf>
    <xf numFmtId="0" fontId="15" fillId="0" borderId="15" xfId="0" applyFont="1" applyBorder="1" applyAlignment="1" applyProtection="1">
      <alignment horizontal="center"/>
      <protection locked="0"/>
    </xf>
    <xf numFmtId="0" fontId="10" fillId="0" borderId="0" xfId="0" applyFont="1" applyAlignment="1" applyProtection="1">
      <alignment horizontal="center"/>
      <protection locked="0"/>
    </xf>
    <xf numFmtId="0" fontId="4" fillId="0" borderId="0" xfId="0" applyFont="1" applyProtection="1">
      <protection locked="0"/>
    </xf>
    <xf numFmtId="0" fontId="10" fillId="0" borderId="18" xfId="0" applyFont="1" applyBorder="1" applyAlignment="1" applyProtection="1">
      <alignment horizontal="center"/>
      <protection locked="0"/>
    </xf>
    <xf numFmtId="0" fontId="17" fillId="0" borderId="0" xfId="0" applyFont="1"/>
    <xf numFmtId="0" fontId="4" fillId="0" borderId="30" xfId="0" applyFont="1" applyBorder="1" applyAlignment="1">
      <alignment horizontal="center"/>
    </xf>
    <xf numFmtId="0" fontId="4" fillId="0" borderId="31" xfId="0" applyFont="1" applyBorder="1" applyAlignment="1">
      <alignment horizontal="center" vertical="center"/>
    </xf>
    <xf numFmtId="0" fontId="4" fillId="0" borderId="8" xfId="0" applyFont="1" applyBorder="1" applyAlignment="1">
      <alignment horizontal="centerContinuous"/>
    </xf>
    <xf numFmtId="0" fontId="4" fillId="0" borderId="9" xfId="0" applyFont="1" applyBorder="1" applyAlignment="1">
      <alignment horizontal="centerContinuous"/>
    </xf>
    <xf numFmtId="0" fontId="4" fillId="0" borderId="0" xfId="0" applyFont="1" applyAlignment="1">
      <alignment horizontal="center"/>
    </xf>
    <xf numFmtId="43" fontId="15" fillId="0" borderId="15" xfId="3" applyFont="1" applyBorder="1" applyProtection="1">
      <protection locked="0"/>
    </xf>
    <xf numFmtId="43" fontId="15" fillId="0" borderId="29" xfId="3" applyFont="1" applyBorder="1" applyProtection="1">
      <protection locked="0"/>
    </xf>
    <xf numFmtId="0" fontId="3" fillId="0" borderId="15" xfId="0" applyFont="1" applyBorder="1" applyAlignment="1">
      <alignment horizontal="center"/>
    </xf>
    <xf numFmtId="43" fontId="3" fillId="0" borderId="15" xfId="3" applyFont="1" applyBorder="1"/>
    <xf numFmtId="43" fontId="15" fillId="0" borderId="18" xfId="3" applyFont="1" applyBorder="1" applyProtection="1">
      <protection locked="0"/>
    </xf>
    <xf numFmtId="43" fontId="15" fillId="0" borderId="28" xfId="3" applyFont="1" applyBorder="1" applyProtection="1">
      <protection locked="0"/>
    </xf>
    <xf numFmtId="43" fontId="3" fillId="0" borderId="18" xfId="3" applyFont="1" applyBorder="1"/>
    <xf numFmtId="0" fontId="15" fillId="0" borderId="34" xfId="0" applyFont="1" applyBorder="1" applyProtection="1">
      <protection locked="0"/>
    </xf>
    <xf numFmtId="43" fontId="15" fillId="0" borderId="33" xfId="3" applyFont="1" applyBorder="1" applyProtection="1">
      <protection locked="0"/>
    </xf>
    <xf numFmtId="0" fontId="15" fillId="0" borderId="18" xfId="0" applyFont="1" applyBorder="1" applyAlignment="1" applyProtection="1">
      <alignment horizontal="right"/>
      <protection locked="0"/>
    </xf>
    <xf numFmtId="0" fontId="16" fillId="0" borderId="0" xfId="0" applyFont="1"/>
    <xf numFmtId="0" fontId="15" fillId="0" borderId="0" xfId="0" applyFont="1"/>
    <xf numFmtId="0" fontId="15" fillId="0" borderId="0" xfId="0" applyFont="1" applyAlignment="1">
      <alignment horizontal="center"/>
    </xf>
    <xf numFmtId="43" fontId="15" fillId="0" borderId="1" xfId="3" applyFont="1" applyBorder="1"/>
    <xf numFmtId="43" fontId="15" fillId="0" borderId="0" xfId="3" applyFont="1"/>
    <xf numFmtId="43" fontId="13" fillId="0" borderId="1" xfId="3" applyFont="1" applyBorder="1"/>
    <xf numFmtId="0" fontId="18" fillId="0" borderId="0" xfId="0" applyFont="1"/>
    <xf numFmtId="43" fontId="15" fillId="0" borderId="9" xfId="3" applyFont="1" applyBorder="1"/>
    <xf numFmtId="43" fontId="13" fillId="0" borderId="9" xfId="3" applyFont="1" applyBorder="1"/>
    <xf numFmtId="43" fontId="3" fillId="0" borderId="35" xfId="3" applyFont="1" applyBorder="1"/>
    <xf numFmtId="49" fontId="6" fillId="0" borderId="15" xfId="3" applyNumberFormat="1" applyFont="1" applyBorder="1" applyAlignment="1">
      <alignment horizontal="center"/>
    </xf>
    <xf numFmtId="0" fontId="3" fillId="0" borderId="0" xfId="4" applyFont="1"/>
    <xf numFmtId="0" fontId="3" fillId="0" borderId="0" xfId="4" applyFont="1" applyAlignment="1">
      <alignment horizontal="right"/>
    </xf>
    <xf numFmtId="0" fontId="6" fillId="0" borderId="1" xfId="4" applyFont="1" applyBorder="1"/>
    <xf numFmtId="0" fontId="3" fillId="0" borderId="1" xfId="4" applyFont="1" applyBorder="1"/>
    <xf numFmtId="0" fontId="8" fillId="0" borderId="0" xfId="4" applyFont="1"/>
    <xf numFmtId="0" fontId="8" fillId="0" borderId="1" xfId="4" applyFont="1" applyBorder="1" applyAlignment="1">
      <alignment horizontal="right"/>
    </xf>
    <xf numFmtId="0" fontId="15" fillId="0" borderId="0" xfId="4" applyFont="1"/>
    <xf numFmtId="0" fontId="8" fillId="0" borderId="2" xfId="4" applyFont="1" applyBorder="1"/>
    <xf numFmtId="0" fontId="19" fillId="0" borderId="3" xfId="4" applyFont="1" applyBorder="1"/>
    <xf numFmtId="0" fontId="8" fillId="0" borderId="4" xfId="4" applyFont="1" applyBorder="1"/>
    <xf numFmtId="0" fontId="8" fillId="0" borderId="5" xfId="4" applyFont="1" applyBorder="1" applyAlignment="1">
      <alignment horizontal="center"/>
    </xf>
    <xf numFmtId="0" fontId="8" fillId="0" borderId="1" xfId="4" applyFont="1" applyBorder="1" applyAlignment="1">
      <alignment horizontal="centerContinuous"/>
    </xf>
    <xf numFmtId="0" fontId="8" fillId="0" borderId="13" xfId="4" applyFont="1" applyBorder="1" applyAlignment="1">
      <alignment horizontal="centerContinuous"/>
    </xf>
    <xf numFmtId="0" fontId="19" fillId="0" borderId="4" xfId="4" applyFont="1" applyBorder="1"/>
    <xf numFmtId="0" fontId="19" fillId="0" borderId="7" xfId="4" applyFont="1" applyBorder="1"/>
    <xf numFmtId="0" fontId="8" fillId="0" borderId="8" xfId="4" applyFont="1" applyBorder="1" applyAlignment="1">
      <alignment horizontal="centerContinuous"/>
    </xf>
    <xf numFmtId="0" fontId="8" fillId="0" borderId="9" xfId="4" applyFont="1" applyBorder="1" applyAlignment="1">
      <alignment horizontal="centerContinuous"/>
    </xf>
    <xf numFmtId="0" fontId="8" fillId="0" borderId="10" xfId="4" applyFont="1" applyBorder="1" applyAlignment="1">
      <alignment horizontal="center"/>
    </xf>
    <xf numFmtId="0" fontId="19" fillId="0" borderId="8" xfId="4" applyFont="1" applyBorder="1"/>
    <xf numFmtId="0" fontId="20" fillId="0" borderId="13" xfId="4" applyFont="1" applyBorder="1"/>
    <xf numFmtId="0" fontId="15" fillId="0" borderId="14" xfId="4" applyFont="1" applyBorder="1" applyProtection="1">
      <protection locked="0"/>
    </xf>
    <xf numFmtId="0" fontId="15" fillId="0" borderId="15" xfId="4" applyFont="1" applyBorder="1" applyAlignment="1" applyProtection="1">
      <alignment horizontal="center"/>
      <protection locked="0"/>
    </xf>
    <xf numFmtId="0" fontId="15" fillId="0" borderId="15" xfId="4" applyFont="1" applyBorder="1" applyProtection="1">
      <protection locked="0"/>
    </xf>
    <xf numFmtId="0" fontId="21" fillId="0" borderId="15" xfId="4" applyFont="1" applyBorder="1" applyAlignment="1" applyProtection="1">
      <alignment horizontal="center"/>
      <protection locked="0"/>
    </xf>
    <xf numFmtId="0" fontId="20" fillId="0" borderId="16" xfId="4" applyFont="1" applyBorder="1" applyAlignment="1">
      <alignment horizontal="left"/>
    </xf>
    <xf numFmtId="0" fontId="22" fillId="0" borderId="0" xfId="4" applyFont="1"/>
    <xf numFmtId="0" fontId="20" fillId="0" borderId="19" xfId="4" applyFont="1" applyBorder="1"/>
    <xf numFmtId="0" fontId="15" fillId="0" borderId="17" xfId="4" applyFont="1" applyBorder="1" applyProtection="1">
      <protection locked="0"/>
    </xf>
    <xf numFmtId="0" fontId="15" fillId="0" borderId="18" xfId="4" applyFont="1" applyBorder="1" applyAlignment="1" applyProtection="1">
      <alignment horizontal="center"/>
      <protection locked="0"/>
    </xf>
    <xf numFmtId="43" fontId="15" fillId="0" borderId="18" xfId="3" applyFont="1" applyBorder="1" applyAlignment="1" applyProtection="1">
      <alignment horizontal="center"/>
      <protection locked="0"/>
    </xf>
    <xf numFmtId="0" fontId="20" fillId="0" borderId="20" xfId="4" applyFont="1" applyBorder="1" applyAlignment="1">
      <alignment horizontal="left"/>
    </xf>
    <xf numFmtId="0" fontId="15" fillId="0" borderId="17" xfId="4" applyFont="1" applyBorder="1"/>
    <xf numFmtId="0" fontId="15" fillId="0" borderId="18" xfId="4" applyFont="1" applyBorder="1" applyAlignment="1">
      <alignment horizontal="center"/>
    </xf>
    <xf numFmtId="43" fontId="15" fillId="0" borderId="18" xfId="3" applyFont="1" applyBorder="1" applyProtection="1"/>
    <xf numFmtId="0" fontId="4" fillId="0" borderId="0" xfId="0" applyFont="1" applyAlignment="1">
      <alignment horizontal="left"/>
    </xf>
    <xf numFmtId="0" fontId="4" fillId="0" borderId="0" xfId="0" applyFont="1" applyAlignment="1" applyProtection="1">
      <alignment horizontal="center"/>
      <protection locked="0"/>
    </xf>
    <xf numFmtId="0" fontId="11" fillId="0" borderId="0" xfId="0" applyFont="1"/>
    <xf numFmtId="0" fontId="12" fillId="0" borderId="0" xfId="0" applyFont="1" applyAlignment="1">
      <alignment horizontal="center"/>
    </xf>
    <xf numFmtId="0" fontId="12" fillId="0" borderId="0" xfId="0" applyFont="1" applyAlignment="1">
      <alignment horizontal="centerContinuous"/>
    </xf>
    <xf numFmtId="0" fontId="15" fillId="0" borderId="0" xfId="0" applyFont="1" applyProtection="1">
      <protection locked="0"/>
    </xf>
    <xf numFmtId="0" fontId="15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left"/>
      <protection locked="0"/>
    </xf>
    <xf numFmtId="43" fontId="15" fillId="0" borderId="0" xfId="3" applyFont="1" applyBorder="1" applyProtection="1">
      <protection locked="0"/>
    </xf>
    <xf numFmtId="0" fontId="11" fillId="0" borderId="0" xfId="0" applyFont="1" applyAlignment="1">
      <alignment horizontal="left"/>
    </xf>
    <xf numFmtId="0" fontId="15" fillId="0" borderId="0" xfId="0" applyFont="1" applyAlignment="1" applyProtection="1">
      <alignment horizontal="left" indent="1"/>
      <protection locked="0"/>
    </xf>
    <xf numFmtId="49" fontId="16" fillId="0" borderId="15" xfId="3" applyNumberFormat="1" applyFont="1" applyBorder="1" applyAlignment="1" applyProtection="1">
      <alignment horizontal="center"/>
      <protection locked="0"/>
    </xf>
    <xf numFmtId="0" fontId="15" fillId="0" borderId="1" xfId="0" applyFont="1" applyBorder="1" applyAlignment="1">
      <alignment horizontal="center"/>
    </xf>
    <xf numFmtId="0" fontId="6" fillId="0" borderId="1" xfId="0" applyFont="1" applyBorder="1" applyAlignment="1" applyProtection="1">
      <alignment horizontal="left"/>
      <protection locked="0"/>
    </xf>
    <xf numFmtId="0" fontId="3" fillId="0" borderId="1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43" fontId="3" fillId="0" borderId="0" xfId="1" applyFont="1" applyBorder="1"/>
    <xf numFmtId="43" fontId="3" fillId="0" borderId="33" xfId="3" applyFont="1" applyBorder="1"/>
    <xf numFmtId="0" fontId="4" fillId="0" borderId="0" xfId="0" applyFont="1" applyAlignment="1">
      <alignment horizontal="left"/>
    </xf>
    <xf numFmtId="0" fontId="3" fillId="0" borderId="1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32" xfId="0" applyFont="1" applyBorder="1" applyAlignment="1">
      <alignment horizontal="center"/>
    </xf>
    <xf numFmtId="0" fontId="4" fillId="0" borderId="23" xfId="0" applyFont="1" applyBorder="1" applyAlignment="1">
      <alignment horizontal="left"/>
    </xf>
    <xf numFmtId="0" fontId="6" fillId="0" borderId="0" xfId="0" applyFont="1" applyAlignment="1">
      <alignment horizontal="center"/>
    </xf>
  </cellXfs>
  <cellStyles count="5">
    <cellStyle name="Comma" xfId="1" builtinId="3"/>
    <cellStyle name="Comma 2" xfId="3" xr:uid="{00000000-0005-0000-0000-000001000000}"/>
    <cellStyle name="Currency" xfId="2" builtinId="4"/>
    <cellStyle name="Normal" xfId="0" builtinId="0"/>
    <cellStyle name="Normal 2" xfId="4" xr:uid="{00000000-0005-0000-0000-000004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externalLink" Target="externalLinks/externalLink1.xml"/><Relationship Id="rId9" Type="http://schemas.openxmlformats.org/officeDocument/2006/relationships/customXml" Target="../customXml/item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Documents%20and%20Settings\HP_Owner\My%20Documents\School\Accounting\Accounting%202\Chapter%202\Chap%202%20Student%20Spreadsheets\2-2%20work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2-2 Cash Receipts Journal"/>
      <sheetName val="2-2 General Ledger"/>
      <sheetName val="2-2 Accounts Receivable Ledger"/>
      <sheetName val="1-1 Key"/>
    </sheetNames>
    <sheetDataSet>
      <sheetData sheetId="0"/>
      <sheetData sheetId="1" refreshError="1"/>
      <sheetData sheetId="2">
        <row r="7">
          <cell r="B7" t="str">
            <v>Feb</v>
          </cell>
          <cell r="C7">
            <v>1</v>
          </cell>
          <cell r="D7" t="str">
            <v>Balance</v>
          </cell>
          <cell r="E7" t="str">
            <v>P</v>
          </cell>
          <cell r="H7">
            <v>3286</v>
          </cell>
        </row>
        <row r="11">
          <cell r="D11" t="str">
            <v>Check your total</v>
          </cell>
          <cell r="H11">
            <v>318</v>
          </cell>
        </row>
        <row r="17">
          <cell r="B17" t="str">
            <v>Feb</v>
          </cell>
          <cell r="C17">
            <v>1</v>
          </cell>
          <cell r="D17" t="str">
            <v>Balance</v>
          </cell>
          <cell r="E17" t="str">
            <v>P</v>
          </cell>
          <cell r="H17">
            <v>848</v>
          </cell>
        </row>
        <row r="21">
          <cell r="D21" t="str">
            <v>Check your total</v>
          </cell>
          <cell r="H21">
            <v>0</v>
          </cell>
        </row>
        <row r="27">
          <cell r="B27" t="str">
            <v>Feb</v>
          </cell>
          <cell r="C27">
            <v>1</v>
          </cell>
          <cell r="D27" t="str">
            <v>Balance</v>
          </cell>
          <cell r="E27" t="str">
            <v>P</v>
          </cell>
          <cell r="H27">
            <v>1590</v>
          </cell>
        </row>
        <row r="31">
          <cell r="D31" t="str">
            <v>Check your total</v>
          </cell>
          <cell r="H31">
            <v>318</v>
          </cell>
        </row>
      </sheetData>
      <sheetData sheetId="3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I67"/>
  <sheetViews>
    <sheetView topLeftCell="A2" zoomScaleNormal="100" workbookViewId="0">
      <selection activeCell="H14" sqref="H14"/>
    </sheetView>
  </sheetViews>
  <sheetFormatPr defaultColWidth="9.1796875" defaultRowHeight="10" x14ac:dyDescent="0.2"/>
  <cols>
    <col min="1" max="1" width="1.453125" style="5" customWidth="1"/>
    <col min="2" max="2" width="5.54296875" style="5" customWidth="1"/>
    <col min="3" max="3" width="3.54296875" style="5" customWidth="1"/>
    <col min="4" max="4" width="36.54296875" style="5" customWidth="1"/>
    <col min="5" max="5" width="8.1796875" style="5" bestFit="1" customWidth="1"/>
    <col min="6" max="6" width="13" style="5" bestFit="1" customWidth="1"/>
    <col min="7" max="7" width="15.81640625" style="5" bestFit="1" customWidth="1"/>
    <col min="8" max="8" width="13" style="5" bestFit="1" customWidth="1"/>
    <col min="9" max="9" width="1.453125" style="5" customWidth="1"/>
    <col min="10" max="16384" width="9.1796875" style="5"/>
  </cols>
  <sheetData>
    <row r="1" spans="1:9" ht="15.5" x14ac:dyDescent="0.35">
      <c r="A1" s="1" t="s">
        <v>68</v>
      </c>
      <c r="B1" s="1"/>
      <c r="C1" s="1"/>
      <c r="D1" s="1"/>
      <c r="E1" s="2" t="s">
        <v>0</v>
      </c>
      <c r="F1" s="171" t="s">
        <v>69</v>
      </c>
      <c r="G1" s="4"/>
    </row>
    <row r="2" spans="1:9" ht="15.5" x14ac:dyDescent="0.35">
      <c r="A2" s="1" t="s">
        <v>67</v>
      </c>
      <c r="B2" s="1"/>
      <c r="C2" s="1"/>
      <c r="D2" s="1"/>
      <c r="E2" s="6"/>
      <c r="F2" s="6"/>
      <c r="G2" s="7"/>
    </row>
    <row r="3" spans="1:9" ht="20" x14ac:dyDescent="0.4">
      <c r="A3" s="1"/>
      <c r="B3" s="1"/>
      <c r="C3" s="1"/>
      <c r="D3" s="8"/>
      <c r="E3" s="94"/>
      <c r="F3" s="6"/>
      <c r="G3" s="7"/>
    </row>
    <row r="4" spans="1:9" ht="15.5" x14ac:dyDescent="0.35">
      <c r="A4" s="9"/>
      <c r="B4" s="9"/>
      <c r="C4" s="9"/>
      <c r="D4" s="7" t="s">
        <v>1</v>
      </c>
    </row>
    <row r="5" spans="1:9" x14ac:dyDescent="0.2">
      <c r="A5" s="9"/>
      <c r="B5" s="9"/>
      <c r="C5" s="9"/>
      <c r="D5" s="9"/>
    </row>
    <row r="6" spans="1:9" ht="12.75" customHeight="1" x14ac:dyDescent="0.35">
      <c r="A6" s="10" t="s">
        <v>2</v>
      </c>
      <c r="B6" s="11"/>
      <c r="C6" s="11"/>
      <c r="D6" s="1" t="s">
        <v>59</v>
      </c>
      <c r="E6" s="6"/>
      <c r="F6" s="1"/>
      <c r="G6" s="12" t="s">
        <v>3</v>
      </c>
      <c r="H6" s="1">
        <v>110</v>
      </c>
      <c r="I6" s="6"/>
    </row>
    <row r="7" spans="1:9" ht="5.15" customHeight="1" thickBot="1" x14ac:dyDescent="0.4">
      <c r="A7" s="13"/>
      <c r="B7" s="13"/>
      <c r="C7" s="13"/>
      <c r="D7" s="13"/>
      <c r="E7" s="14"/>
      <c r="F7" s="13"/>
      <c r="G7" s="13"/>
      <c r="H7" s="13"/>
      <c r="I7" s="14"/>
    </row>
    <row r="8" spans="1:9" ht="13" customHeight="1" thickTop="1" x14ac:dyDescent="0.35">
      <c r="A8" s="15"/>
      <c r="B8" s="16"/>
      <c r="C8" s="1"/>
      <c r="D8" s="17"/>
      <c r="E8" s="18" t="s">
        <v>4</v>
      </c>
      <c r="F8" s="17"/>
      <c r="G8" s="17"/>
      <c r="H8" s="19" t="s">
        <v>5</v>
      </c>
      <c r="I8" s="20"/>
    </row>
    <row r="9" spans="1:9" ht="13" customHeight="1" thickBot="1" x14ac:dyDescent="0.4">
      <c r="A9" s="21"/>
      <c r="B9" s="22" t="s">
        <v>6</v>
      </c>
      <c r="C9" s="23"/>
      <c r="D9" s="24" t="s">
        <v>7</v>
      </c>
      <c r="E9" s="25" t="s">
        <v>8</v>
      </c>
      <c r="F9" s="24" t="s">
        <v>5</v>
      </c>
      <c r="G9" s="24" t="s">
        <v>9</v>
      </c>
      <c r="H9" s="24" t="s">
        <v>10</v>
      </c>
      <c r="I9" s="26"/>
    </row>
    <row r="10" spans="1:9" ht="9" customHeight="1" thickTop="1" x14ac:dyDescent="0.35">
      <c r="A10" s="15"/>
      <c r="B10" s="27"/>
      <c r="C10" s="28"/>
      <c r="D10" s="17"/>
      <c r="E10" s="18"/>
      <c r="F10" s="17"/>
      <c r="G10" s="17"/>
      <c r="H10" s="29"/>
      <c r="I10" s="20"/>
    </row>
    <row r="11" spans="1:9" ht="16" customHeight="1" x14ac:dyDescent="0.35">
      <c r="A11" s="30"/>
      <c r="B11" s="31" t="s">
        <v>58</v>
      </c>
      <c r="C11" s="32">
        <v>1</v>
      </c>
      <c r="D11" s="32" t="s">
        <v>11</v>
      </c>
      <c r="E11" s="33" t="s">
        <v>12</v>
      </c>
      <c r="F11" s="34"/>
      <c r="G11" s="34"/>
      <c r="H11" s="34">
        <v>1648.96</v>
      </c>
      <c r="I11" s="35"/>
    </row>
    <row r="12" spans="1:9" ht="16" customHeight="1" x14ac:dyDescent="0.35">
      <c r="A12" s="30"/>
      <c r="B12" s="36"/>
      <c r="C12" s="37">
        <v>4</v>
      </c>
      <c r="D12" s="37"/>
      <c r="E12" s="56" t="s">
        <v>65</v>
      </c>
      <c r="F12" s="38">
        <v>735.64</v>
      </c>
      <c r="G12" s="38"/>
      <c r="H12" s="38">
        <f>H11+F12</f>
        <v>2384.6</v>
      </c>
      <c r="I12" s="35"/>
    </row>
    <row r="13" spans="1:9" ht="16" customHeight="1" x14ac:dyDescent="0.35">
      <c r="A13" s="30"/>
      <c r="B13" s="36"/>
      <c r="C13" s="37">
        <v>25</v>
      </c>
      <c r="D13" s="37"/>
      <c r="E13" s="56" t="s">
        <v>65</v>
      </c>
      <c r="F13" s="38">
        <v>3690.92</v>
      </c>
      <c r="G13" s="38"/>
      <c r="H13" s="38">
        <f>H12+F13</f>
        <v>6075.52</v>
      </c>
      <c r="I13" s="35"/>
    </row>
    <row r="14" spans="1:9" ht="16" customHeight="1" x14ac:dyDescent="0.35">
      <c r="A14" s="39"/>
      <c r="B14" s="36"/>
      <c r="C14" s="37"/>
      <c r="D14" s="37"/>
      <c r="E14" s="56"/>
      <c r="F14" s="38"/>
      <c r="G14" s="38"/>
      <c r="H14" s="38"/>
      <c r="I14" s="40"/>
    </row>
    <row r="15" spans="1:9" ht="15.5" x14ac:dyDescent="0.35">
      <c r="A15" s="1"/>
      <c r="B15" s="1"/>
      <c r="C15" s="1"/>
      <c r="D15" s="1"/>
      <c r="E15" s="6"/>
      <c r="F15" s="1"/>
      <c r="G15" s="1"/>
      <c r="H15" s="1"/>
      <c r="I15" s="6"/>
    </row>
    <row r="16" spans="1:9" ht="12.75" customHeight="1" x14ac:dyDescent="0.35">
      <c r="A16" s="10" t="s">
        <v>2</v>
      </c>
      <c r="B16" s="41"/>
      <c r="C16" s="41"/>
      <c r="D16" s="1" t="s">
        <v>60</v>
      </c>
      <c r="E16" s="6"/>
      <c r="F16" s="1"/>
      <c r="G16" s="12" t="s">
        <v>3</v>
      </c>
      <c r="H16" s="1">
        <v>120</v>
      </c>
      <c r="I16" s="6"/>
    </row>
    <row r="17" spans="1:9" ht="5.15" customHeight="1" thickBot="1" x14ac:dyDescent="0.4">
      <c r="A17" s="13"/>
      <c r="B17" s="13"/>
      <c r="C17" s="13"/>
      <c r="D17" s="13"/>
      <c r="E17" s="14"/>
      <c r="F17" s="13"/>
      <c r="G17" s="13"/>
      <c r="H17" s="13"/>
      <c r="I17" s="14"/>
    </row>
    <row r="18" spans="1:9" ht="13" customHeight="1" thickTop="1" x14ac:dyDescent="0.35">
      <c r="A18" s="15"/>
      <c r="B18" s="16"/>
      <c r="C18" s="1"/>
      <c r="D18" s="17"/>
      <c r="E18" s="18" t="s">
        <v>4</v>
      </c>
      <c r="F18" s="17"/>
      <c r="G18" s="17"/>
      <c r="H18" s="19" t="s">
        <v>5</v>
      </c>
      <c r="I18" s="20"/>
    </row>
    <row r="19" spans="1:9" ht="13" customHeight="1" thickBot="1" x14ac:dyDescent="0.4">
      <c r="A19" s="21"/>
      <c r="B19" s="22" t="s">
        <v>6</v>
      </c>
      <c r="C19" s="23"/>
      <c r="D19" s="24" t="s">
        <v>7</v>
      </c>
      <c r="E19" s="25" t="s">
        <v>8</v>
      </c>
      <c r="F19" s="24" t="s">
        <v>5</v>
      </c>
      <c r="G19" s="24" t="s">
        <v>9</v>
      </c>
      <c r="H19" s="24" t="s">
        <v>10</v>
      </c>
      <c r="I19" s="26"/>
    </row>
    <row r="20" spans="1:9" ht="9" customHeight="1" thickTop="1" x14ac:dyDescent="0.35">
      <c r="A20" s="15"/>
      <c r="B20" s="27"/>
      <c r="C20" s="28"/>
      <c r="D20" s="17"/>
      <c r="E20" s="18"/>
      <c r="F20" s="17"/>
      <c r="G20" s="17"/>
      <c r="H20" s="29"/>
      <c r="I20" s="20"/>
    </row>
    <row r="21" spans="1:9" ht="16" customHeight="1" x14ac:dyDescent="0.35">
      <c r="A21" s="30"/>
      <c r="B21" s="31" t="s">
        <v>58</v>
      </c>
      <c r="C21" s="32">
        <v>1</v>
      </c>
      <c r="D21" s="32" t="s">
        <v>11</v>
      </c>
      <c r="E21" s="33" t="s">
        <v>12</v>
      </c>
      <c r="F21" s="34"/>
      <c r="G21" s="34"/>
      <c r="H21" s="34">
        <v>4218.1899999999996</v>
      </c>
      <c r="I21" s="35"/>
    </row>
    <row r="22" spans="1:9" ht="16" customHeight="1" x14ac:dyDescent="0.35">
      <c r="A22" s="39"/>
      <c r="B22" s="36"/>
      <c r="C22" s="37">
        <v>19</v>
      </c>
      <c r="D22" s="37"/>
      <c r="E22" s="56" t="s">
        <v>65</v>
      </c>
      <c r="F22" s="38">
        <v>2064.88</v>
      </c>
      <c r="G22" s="38"/>
      <c r="H22" s="38">
        <f>H21+F22</f>
        <v>6283.07</v>
      </c>
      <c r="I22" s="40"/>
    </row>
    <row r="23" spans="1:9" ht="16" customHeight="1" x14ac:dyDescent="0.35">
      <c r="A23" s="39"/>
      <c r="B23" s="36"/>
      <c r="C23" s="37"/>
      <c r="D23" s="37"/>
      <c r="E23" s="56"/>
      <c r="F23" s="38"/>
      <c r="G23" s="38"/>
      <c r="H23" s="38"/>
      <c r="I23" s="40"/>
    </row>
    <row r="24" spans="1:9" ht="16" customHeight="1" x14ac:dyDescent="0.35">
      <c r="A24" s="39"/>
      <c r="B24" s="36"/>
      <c r="C24" s="37"/>
      <c r="D24" s="37"/>
      <c r="E24" s="56"/>
      <c r="F24" s="38"/>
      <c r="G24" s="38"/>
      <c r="H24" s="38"/>
      <c r="I24" s="40"/>
    </row>
    <row r="25" spans="1:9" ht="15.5" x14ac:dyDescent="0.35">
      <c r="A25" s="1"/>
      <c r="B25" s="1"/>
      <c r="C25" s="1"/>
      <c r="D25" s="1"/>
      <c r="E25" s="6"/>
      <c r="F25" s="1"/>
      <c r="G25" s="1"/>
      <c r="H25" s="1"/>
      <c r="I25" s="6"/>
    </row>
    <row r="26" spans="1:9" ht="12.75" customHeight="1" x14ac:dyDescent="0.35">
      <c r="A26" s="10" t="s">
        <v>2</v>
      </c>
      <c r="B26" s="41"/>
      <c r="C26" s="41"/>
      <c r="D26" s="1" t="s">
        <v>61</v>
      </c>
      <c r="E26" s="6"/>
      <c r="F26" s="1"/>
      <c r="G26" s="12" t="s">
        <v>3</v>
      </c>
      <c r="H26" s="1">
        <v>130</v>
      </c>
      <c r="I26" s="6"/>
    </row>
    <row r="27" spans="1:9" ht="5.15" customHeight="1" thickBot="1" x14ac:dyDescent="0.4">
      <c r="A27" s="13"/>
      <c r="B27" s="13"/>
      <c r="C27" s="13"/>
      <c r="D27" s="13"/>
      <c r="E27" s="14"/>
      <c r="F27" s="13"/>
      <c r="G27" s="13"/>
      <c r="H27" s="13"/>
      <c r="I27" s="14"/>
    </row>
    <row r="28" spans="1:9" ht="13" customHeight="1" thickTop="1" x14ac:dyDescent="0.35">
      <c r="A28" s="15"/>
      <c r="B28" s="16"/>
      <c r="C28" s="1"/>
      <c r="D28" s="17"/>
      <c r="E28" s="18" t="s">
        <v>4</v>
      </c>
      <c r="F28" s="17"/>
      <c r="G28" s="17"/>
      <c r="H28" s="19" t="s">
        <v>5</v>
      </c>
      <c r="I28" s="20"/>
    </row>
    <row r="29" spans="1:9" ht="13" customHeight="1" thickBot="1" x14ac:dyDescent="0.4">
      <c r="A29" s="21"/>
      <c r="B29" s="22" t="s">
        <v>6</v>
      </c>
      <c r="C29" s="23"/>
      <c r="D29" s="24" t="s">
        <v>7</v>
      </c>
      <c r="E29" s="25" t="s">
        <v>8</v>
      </c>
      <c r="F29" s="24" t="s">
        <v>5</v>
      </c>
      <c r="G29" s="24" t="s">
        <v>9</v>
      </c>
      <c r="H29" s="24" t="s">
        <v>10</v>
      </c>
      <c r="I29" s="26"/>
    </row>
    <row r="30" spans="1:9" ht="9" customHeight="1" thickTop="1" x14ac:dyDescent="0.35">
      <c r="A30" s="15"/>
      <c r="B30" s="27"/>
      <c r="C30" s="28"/>
      <c r="D30" s="17"/>
      <c r="E30" s="18"/>
      <c r="F30" s="17"/>
      <c r="G30" s="17"/>
      <c r="H30" s="29"/>
      <c r="I30" s="20"/>
    </row>
    <row r="31" spans="1:9" ht="16" customHeight="1" x14ac:dyDescent="0.35">
      <c r="A31" s="30"/>
      <c r="B31" s="42" t="s">
        <v>58</v>
      </c>
      <c r="C31" s="32">
        <v>1</v>
      </c>
      <c r="D31" s="32" t="s">
        <v>11</v>
      </c>
      <c r="E31" s="33" t="s">
        <v>12</v>
      </c>
      <c r="F31" s="34"/>
      <c r="G31" s="34"/>
      <c r="H31" s="34">
        <v>679.19</v>
      </c>
      <c r="I31" s="35"/>
    </row>
    <row r="32" spans="1:9" ht="16" customHeight="1" x14ac:dyDescent="0.35">
      <c r="A32" s="39"/>
      <c r="B32" s="36"/>
      <c r="C32" s="37">
        <v>7</v>
      </c>
      <c r="D32" s="37"/>
      <c r="E32" s="56" t="s">
        <v>65</v>
      </c>
      <c r="F32" s="38">
        <v>1648</v>
      </c>
      <c r="G32" s="38"/>
      <c r="H32" s="38">
        <f>H31+F32</f>
        <v>2327.19</v>
      </c>
      <c r="I32" s="40"/>
    </row>
    <row r="33" spans="1:9" ht="16" customHeight="1" x14ac:dyDescent="0.35">
      <c r="A33" s="39"/>
      <c r="B33" s="36"/>
      <c r="C33" s="37"/>
      <c r="D33" s="37"/>
      <c r="E33" s="56"/>
      <c r="F33" s="38"/>
      <c r="G33" s="38"/>
      <c r="H33" s="38"/>
      <c r="I33" s="40"/>
    </row>
    <row r="34" spans="1:9" ht="16" customHeight="1" x14ac:dyDescent="0.35">
      <c r="A34" s="39"/>
      <c r="B34" s="36"/>
      <c r="C34" s="37"/>
      <c r="D34" s="37"/>
      <c r="E34" s="56"/>
      <c r="F34" s="38"/>
      <c r="G34" s="38"/>
      <c r="H34" s="38"/>
      <c r="I34" s="40"/>
    </row>
    <row r="35" spans="1:9" ht="15.5" x14ac:dyDescent="0.35">
      <c r="A35" s="1"/>
      <c r="B35" s="1"/>
      <c r="C35" s="1"/>
      <c r="D35" s="1"/>
      <c r="E35" s="6"/>
      <c r="F35" s="1"/>
      <c r="G35" s="1"/>
      <c r="H35" s="1"/>
      <c r="I35" s="6"/>
    </row>
    <row r="36" spans="1:9" ht="12.75" customHeight="1" x14ac:dyDescent="0.35">
      <c r="A36" s="10" t="s">
        <v>2</v>
      </c>
      <c r="B36" s="41"/>
      <c r="C36" s="41"/>
      <c r="D36" s="1" t="s">
        <v>62</v>
      </c>
      <c r="E36" s="6"/>
      <c r="F36" s="1"/>
      <c r="G36" s="12" t="s">
        <v>3</v>
      </c>
      <c r="H36" s="1">
        <v>140</v>
      </c>
      <c r="I36" s="6"/>
    </row>
    <row r="37" spans="1:9" ht="5.15" customHeight="1" thickBot="1" x14ac:dyDescent="0.4">
      <c r="A37" s="13"/>
      <c r="B37" s="13"/>
      <c r="C37" s="13"/>
      <c r="D37" s="13"/>
      <c r="E37" s="14"/>
      <c r="F37" s="13"/>
      <c r="G37" s="13"/>
      <c r="H37" s="13"/>
      <c r="I37" s="14"/>
    </row>
    <row r="38" spans="1:9" ht="13" customHeight="1" thickTop="1" x14ac:dyDescent="0.35">
      <c r="A38" s="15"/>
      <c r="B38" s="16"/>
      <c r="C38" s="1"/>
      <c r="D38" s="17"/>
      <c r="E38" s="18" t="s">
        <v>4</v>
      </c>
      <c r="F38" s="17"/>
      <c r="G38" s="17"/>
      <c r="H38" s="19" t="s">
        <v>5</v>
      </c>
      <c r="I38" s="20"/>
    </row>
    <row r="39" spans="1:9" ht="13" customHeight="1" thickBot="1" x14ac:dyDescent="0.4">
      <c r="A39" s="21"/>
      <c r="B39" s="22" t="s">
        <v>6</v>
      </c>
      <c r="C39" s="23"/>
      <c r="D39" s="24" t="s">
        <v>7</v>
      </c>
      <c r="E39" s="25" t="s">
        <v>8</v>
      </c>
      <c r="F39" s="24" t="s">
        <v>5</v>
      </c>
      <c r="G39" s="24" t="s">
        <v>9</v>
      </c>
      <c r="H39" s="24" t="s">
        <v>10</v>
      </c>
      <c r="I39" s="26"/>
    </row>
    <row r="40" spans="1:9" ht="9" customHeight="1" thickTop="1" x14ac:dyDescent="0.35">
      <c r="A40" s="15"/>
      <c r="B40" s="27"/>
      <c r="C40" s="28"/>
      <c r="D40" s="17"/>
      <c r="E40" s="18"/>
      <c r="F40" s="17"/>
      <c r="G40" s="17"/>
      <c r="H40" s="29"/>
      <c r="I40" s="20"/>
    </row>
    <row r="41" spans="1:9" ht="16" customHeight="1" x14ac:dyDescent="0.35">
      <c r="A41" s="30"/>
      <c r="B41" s="42" t="s">
        <v>58</v>
      </c>
      <c r="C41" s="32">
        <v>1</v>
      </c>
      <c r="D41" s="32" t="s">
        <v>11</v>
      </c>
      <c r="E41" s="33" t="s">
        <v>12</v>
      </c>
      <c r="F41" s="34"/>
      <c r="G41" s="34"/>
      <c r="H41" s="34">
        <v>1547.15</v>
      </c>
      <c r="I41" s="35"/>
    </row>
    <row r="42" spans="1:9" ht="16" customHeight="1" x14ac:dyDescent="0.35">
      <c r="A42" s="39"/>
      <c r="B42" s="36"/>
      <c r="C42" s="37">
        <v>2</v>
      </c>
      <c r="D42" s="37"/>
      <c r="E42" s="56" t="s">
        <v>65</v>
      </c>
      <c r="F42" s="38">
        <v>2171.94</v>
      </c>
      <c r="G42" s="38"/>
      <c r="H42" s="38">
        <f>H41+F42</f>
        <v>3719.09</v>
      </c>
      <c r="I42" s="40"/>
    </row>
    <row r="43" spans="1:9" ht="16" customHeight="1" x14ac:dyDescent="0.35">
      <c r="A43" s="39"/>
      <c r="B43" s="36"/>
      <c r="C43" s="37"/>
      <c r="D43" s="37"/>
      <c r="E43" s="56"/>
      <c r="F43" s="38"/>
      <c r="G43" s="38"/>
      <c r="H43" s="38"/>
      <c r="I43" s="40"/>
    </row>
    <row r="44" spans="1:9" ht="16" customHeight="1" x14ac:dyDescent="0.35">
      <c r="A44" s="39"/>
      <c r="B44" s="36"/>
      <c r="C44" s="37"/>
      <c r="D44" s="37"/>
      <c r="E44" s="56"/>
      <c r="F44" s="38"/>
      <c r="G44" s="38"/>
      <c r="H44" s="38"/>
      <c r="I44" s="40"/>
    </row>
    <row r="45" spans="1:9" ht="16" customHeight="1" x14ac:dyDescent="0.35">
      <c r="A45" s="1"/>
      <c r="B45" s="1"/>
      <c r="C45" s="1"/>
      <c r="D45" s="1"/>
      <c r="E45" s="1"/>
      <c r="F45" s="174"/>
      <c r="G45" s="174"/>
      <c r="H45" s="174"/>
      <c r="I45" s="158"/>
    </row>
    <row r="46" spans="1:9" ht="12.75" customHeight="1" x14ac:dyDescent="0.35">
      <c r="A46" s="10" t="s">
        <v>2</v>
      </c>
      <c r="B46" s="41"/>
      <c r="C46" s="41"/>
      <c r="D46" s="1" t="s">
        <v>63</v>
      </c>
      <c r="E46" s="6"/>
      <c r="F46" s="1"/>
      <c r="G46" s="12" t="s">
        <v>3</v>
      </c>
      <c r="H46" s="1">
        <v>150</v>
      </c>
      <c r="I46" s="6"/>
    </row>
    <row r="47" spans="1:9" ht="5.15" customHeight="1" thickBot="1" x14ac:dyDescent="0.4">
      <c r="A47" s="13"/>
      <c r="B47" s="13"/>
      <c r="C47" s="13"/>
      <c r="D47" s="13"/>
      <c r="E47" s="14"/>
      <c r="F47" s="13"/>
      <c r="G47" s="13"/>
      <c r="H47" s="13"/>
      <c r="I47" s="14"/>
    </row>
    <row r="48" spans="1:9" ht="13" customHeight="1" thickTop="1" x14ac:dyDescent="0.35">
      <c r="A48" s="15"/>
      <c r="B48" s="16"/>
      <c r="C48" s="1"/>
      <c r="D48" s="17"/>
      <c r="E48" s="18" t="s">
        <v>4</v>
      </c>
      <c r="F48" s="17"/>
      <c r="G48" s="17"/>
      <c r="H48" s="19" t="s">
        <v>5</v>
      </c>
      <c r="I48" s="20"/>
    </row>
    <row r="49" spans="1:9" ht="13" customHeight="1" thickBot="1" x14ac:dyDescent="0.4">
      <c r="A49" s="21"/>
      <c r="B49" s="22" t="s">
        <v>6</v>
      </c>
      <c r="C49" s="23"/>
      <c r="D49" s="24" t="s">
        <v>7</v>
      </c>
      <c r="E49" s="25" t="s">
        <v>8</v>
      </c>
      <c r="F49" s="24" t="s">
        <v>5</v>
      </c>
      <c r="G49" s="24" t="s">
        <v>9</v>
      </c>
      <c r="H49" s="24" t="s">
        <v>10</v>
      </c>
      <c r="I49" s="26"/>
    </row>
    <row r="50" spans="1:9" ht="9" customHeight="1" thickTop="1" x14ac:dyDescent="0.35">
      <c r="A50" s="15"/>
      <c r="B50" s="27"/>
      <c r="C50" s="28"/>
      <c r="D50" s="17"/>
      <c r="E50" s="18"/>
      <c r="F50" s="17"/>
      <c r="G50" s="17"/>
      <c r="H50" s="29"/>
      <c r="I50" s="20"/>
    </row>
    <row r="51" spans="1:9" ht="16" customHeight="1" x14ac:dyDescent="0.35">
      <c r="A51" s="30"/>
      <c r="B51" s="42" t="s">
        <v>58</v>
      </c>
      <c r="C51" s="32">
        <v>1</v>
      </c>
      <c r="D51" s="32" t="s">
        <v>11</v>
      </c>
      <c r="E51" s="33" t="s">
        <v>12</v>
      </c>
      <c r="F51" s="34"/>
      <c r="G51" s="34"/>
      <c r="H51" s="34">
        <v>2184.14</v>
      </c>
      <c r="I51" s="35"/>
    </row>
    <row r="52" spans="1:9" ht="16" customHeight="1" x14ac:dyDescent="0.35">
      <c r="A52" s="39"/>
      <c r="B52" s="36"/>
      <c r="C52" s="37">
        <v>9</v>
      </c>
      <c r="D52" s="37"/>
      <c r="E52" s="56" t="s">
        <v>65</v>
      </c>
      <c r="F52" s="38">
        <v>877.68</v>
      </c>
      <c r="G52" s="38"/>
      <c r="H52" s="38">
        <f>H51+F52</f>
        <v>3061.8199999999997</v>
      </c>
      <c r="I52" s="40"/>
    </row>
    <row r="53" spans="1:9" ht="16" customHeight="1" x14ac:dyDescent="0.35">
      <c r="A53" s="39"/>
      <c r="B53" s="36"/>
      <c r="C53" s="37"/>
      <c r="D53" s="37"/>
      <c r="E53" s="56"/>
      <c r="F53" s="38"/>
      <c r="G53" s="38"/>
      <c r="H53" s="38"/>
      <c r="I53" s="40"/>
    </row>
    <row r="54" spans="1:9" ht="16" customHeight="1" x14ac:dyDescent="0.35">
      <c r="A54" s="39"/>
      <c r="B54" s="36"/>
      <c r="C54" s="37"/>
      <c r="D54" s="37"/>
      <c r="E54" s="56"/>
      <c r="F54" s="38"/>
      <c r="G54" s="38"/>
      <c r="H54" s="38"/>
      <c r="I54" s="40"/>
    </row>
    <row r="55" spans="1:9" ht="16" customHeight="1" x14ac:dyDescent="0.35">
      <c r="A55" s="1"/>
      <c r="B55" s="1"/>
      <c r="C55" s="1"/>
      <c r="D55" s="1"/>
      <c r="E55" s="1"/>
      <c r="F55" s="174"/>
      <c r="G55" s="174"/>
      <c r="H55" s="174"/>
      <c r="I55" s="158"/>
    </row>
    <row r="57" spans="1:9" ht="15.5" x14ac:dyDescent="0.35">
      <c r="D57" s="177"/>
      <c r="E57" s="178"/>
      <c r="F57" s="178"/>
    </row>
    <row r="58" spans="1:9" ht="15.5" x14ac:dyDescent="0.35">
      <c r="D58" s="179"/>
      <c r="E58" s="179"/>
      <c r="F58" s="179"/>
    </row>
    <row r="59" spans="1:9" ht="15.5" x14ac:dyDescent="0.35">
      <c r="D59" s="177"/>
      <c r="E59" s="178"/>
      <c r="F59" s="178"/>
      <c r="G59" s="46"/>
    </row>
    <row r="60" spans="1:9" ht="16" thickBot="1" x14ac:dyDescent="0.4">
      <c r="D60" s="43"/>
      <c r="E60" s="43"/>
      <c r="F60" s="43"/>
    </row>
    <row r="61" spans="1:9" ht="16" thickTop="1" x14ac:dyDescent="0.35">
      <c r="D61" s="180"/>
      <c r="E61" s="180"/>
      <c r="F61" s="44"/>
    </row>
    <row r="62" spans="1:9" ht="15.5" x14ac:dyDescent="0.35">
      <c r="D62" s="176"/>
      <c r="E62" s="176"/>
      <c r="F62" s="44"/>
    </row>
    <row r="63" spans="1:9" ht="15.5" x14ac:dyDescent="0.35">
      <c r="D63" s="176"/>
      <c r="E63" s="176"/>
      <c r="F63" s="44"/>
    </row>
    <row r="64" spans="1:9" ht="15.5" x14ac:dyDescent="0.35">
      <c r="D64" s="176"/>
      <c r="E64" s="176"/>
      <c r="F64" s="44"/>
    </row>
    <row r="65" spans="4:6" ht="15.5" x14ac:dyDescent="0.35">
      <c r="D65" s="176"/>
      <c r="E65" s="176"/>
      <c r="F65" s="44"/>
    </row>
    <row r="66" spans="4:6" ht="15.5" x14ac:dyDescent="0.35">
      <c r="D66" s="176"/>
      <c r="E66" s="176"/>
      <c r="F66" s="44"/>
    </row>
    <row r="67" spans="4:6" ht="15.5" x14ac:dyDescent="0.35">
      <c r="D67" s="176"/>
      <c r="E67" s="176"/>
      <c r="F67" s="45"/>
    </row>
  </sheetData>
  <mergeCells count="10">
    <mergeCell ref="D64:E64"/>
    <mergeCell ref="D65:E65"/>
    <mergeCell ref="D66:E66"/>
    <mergeCell ref="D67:E67"/>
    <mergeCell ref="D57:F57"/>
    <mergeCell ref="D58:F58"/>
    <mergeCell ref="D59:F59"/>
    <mergeCell ref="D61:E61"/>
    <mergeCell ref="D62:E62"/>
    <mergeCell ref="D63:E63"/>
  </mergeCells>
  <printOptions horizontalCentered="1"/>
  <pageMargins left="0.25" right="0.25" top="0.5" bottom="0.5" header="0.5" footer="0.5"/>
  <pageSetup scale="80" orientation="portrait" horizontalDpi="300" verticalDpi="3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Y35"/>
  <sheetViews>
    <sheetView tabSelected="1" zoomScale="108" zoomScaleNormal="108" workbookViewId="0">
      <selection activeCell="F25" sqref="F25"/>
    </sheetView>
  </sheetViews>
  <sheetFormatPr defaultColWidth="9.1796875" defaultRowHeight="10" x14ac:dyDescent="0.2"/>
  <cols>
    <col min="1" max="1" width="2.7265625" style="5" customWidth="1"/>
    <col min="2" max="2" width="5.453125" style="5" customWidth="1"/>
    <col min="3" max="3" width="4.1796875" style="5" customWidth="1"/>
    <col min="4" max="4" width="36.54296875" style="5" customWidth="1"/>
    <col min="5" max="6" width="11.54296875" style="5" bestFit="1" customWidth="1"/>
    <col min="7" max="7" width="17.54296875" style="5" customWidth="1"/>
    <col min="8" max="8" width="12.81640625" style="5" bestFit="1" customWidth="1"/>
    <col min="9" max="9" width="15.54296875" style="5" customWidth="1"/>
    <col min="10" max="10" width="2.7265625" style="5" customWidth="1"/>
    <col min="11" max="11" width="4.1796875" style="5" customWidth="1"/>
    <col min="12" max="12" width="2.7265625" style="5" customWidth="1"/>
    <col min="13" max="13" width="5.1796875" style="5" customWidth="1"/>
    <col min="14" max="14" width="4.81640625" style="5" customWidth="1"/>
    <col min="15" max="15" width="27" style="5" customWidth="1"/>
    <col min="16" max="16" width="11.81640625" style="5" bestFit="1" customWidth="1"/>
    <col min="17" max="17" width="11.7265625" style="5" bestFit="1" customWidth="1"/>
    <col min="18" max="18" width="7.1796875" style="5" customWidth="1"/>
    <col min="19" max="19" width="7.81640625" style="5" customWidth="1"/>
    <col min="20" max="21" width="11.54296875" style="5" bestFit="1" customWidth="1"/>
    <col min="22" max="23" width="10.453125" style="5" bestFit="1" customWidth="1"/>
    <col min="24" max="24" width="14.7265625" style="5" bestFit="1" customWidth="1"/>
    <col min="25" max="25" width="3" style="5" customWidth="1"/>
    <col min="26" max="16384" width="9.1796875" style="5"/>
  </cols>
  <sheetData>
    <row r="1" spans="1:25" ht="15.5" x14ac:dyDescent="0.35">
      <c r="A1" s="1" t="s">
        <v>68</v>
      </c>
      <c r="B1" s="6"/>
      <c r="C1" s="6"/>
      <c r="D1" s="6"/>
      <c r="E1" s="2" t="s">
        <v>0</v>
      </c>
      <c r="F1" s="3" t="s">
        <v>69</v>
      </c>
      <c r="G1" s="4"/>
      <c r="L1" s="6" t="e">
        <f>#REF!</f>
        <v>#REF!</v>
      </c>
      <c r="M1" s="6"/>
      <c r="N1" s="6"/>
      <c r="O1" s="6"/>
      <c r="P1" s="2" t="s">
        <v>0</v>
      </c>
      <c r="Q1" s="3" t="str">
        <f>'P10-1 - 10-2 AR Led'!F1</f>
        <v>Dhruv Patil</v>
      </c>
      <c r="R1" s="4"/>
      <c r="S1" s="95"/>
    </row>
    <row r="2" spans="1:25" ht="15.5" x14ac:dyDescent="0.35">
      <c r="A2" s="1" t="s">
        <v>67</v>
      </c>
      <c r="B2" s="6"/>
      <c r="C2" s="6"/>
      <c r="D2" s="6"/>
      <c r="E2" s="6"/>
      <c r="F2" s="6"/>
      <c r="G2" s="7"/>
      <c r="L2" s="6" t="str">
        <f>A2</f>
        <v>page 313</v>
      </c>
      <c r="M2" s="6"/>
      <c r="N2" s="6"/>
      <c r="O2" s="6"/>
      <c r="P2" s="6"/>
      <c r="Q2" s="6"/>
      <c r="R2" s="7"/>
      <c r="T2" s="94"/>
    </row>
    <row r="3" spans="1:25" ht="15.5" x14ac:dyDescent="0.35">
      <c r="D3" s="7"/>
      <c r="L3" s="6"/>
      <c r="M3" s="6"/>
      <c r="N3" s="6"/>
      <c r="O3" s="7"/>
      <c r="P3" s="6"/>
      <c r="Q3" s="6"/>
      <c r="R3" s="7"/>
      <c r="S3" s="5" t="s">
        <v>31</v>
      </c>
    </row>
    <row r="4" spans="1:25" ht="15.5" x14ac:dyDescent="0.35">
      <c r="L4" s="6"/>
      <c r="M4" s="6"/>
      <c r="N4" s="6"/>
      <c r="O4" s="6"/>
      <c r="P4" s="6"/>
      <c r="Q4" s="6"/>
      <c r="R4" s="7"/>
    </row>
    <row r="5" spans="1:25" s="97" customFormat="1" ht="15.5" x14ac:dyDescent="0.35">
      <c r="A5" s="47"/>
      <c r="B5" s="47"/>
      <c r="C5" s="47"/>
      <c r="D5" s="48" t="s">
        <v>13</v>
      </c>
      <c r="E5" s="47"/>
      <c r="F5" s="47"/>
      <c r="G5" s="47"/>
      <c r="H5" s="48" t="s">
        <v>14</v>
      </c>
      <c r="I5" s="172" t="s">
        <v>65</v>
      </c>
      <c r="J5" s="47"/>
      <c r="L5" s="173" t="s">
        <v>23</v>
      </c>
      <c r="M5" s="173"/>
      <c r="N5" s="173"/>
      <c r="O5" s="59"/>
      <c r="P5" s="59"/>
      <c r="Q5" s="59"/>
      <c r="R5" s="59"/>
      <c r="S5" s="59" t="s">
        <v>24</v>
      </c>
      <c r="T5" s="59"/>
      <c r="U5" s="59"/>
      <c r="V5" s="59"/>
      <c r="W5" s="59" t="s">
        <v>14</v>
      </c>
      <c r="X5" s="170" t="s">
        <v>64</v>
      </c>
      <c r="Y5" s="173"/>
    </row>
    <row r="6" spans="1:25" s="97" customFormat="1" ht="9" customHeight="1" thickBot="1" x14ac:dyDescent="0.4">
      <c r="A6" s="49"/>
      <c r="B6" s="49"/>
      <c r="C6" s="49"/>
      <c r="D6" s="49"/>
      <c r="E6" s="49"/>
      <c r="F6" s="49"/>
      <c r="G6" s="50">
        <v>1</v>
      </c>
      <c r="H6" s="50">
        <v>2</v>
      </c>
      <c r="I6" s="50">
        <v>3</v>
      </c>
      <c r="J6" s="49"/>
      <c r="L6" s="60"/>
      <c r="M6" s="60"/>
      <c r="N6" s="60"/>
      <c r="O6" s="60"/>
      <c r="P6" s="60"/>
      <c r="Q6" s="60"/>
      <c r="R6" s="50">
        <v>1</v>
      </c>
      <c r="S6" s="50">
        <v>2</v>
      </c>
      <c r="T6" s="50">
        <v>3</v>
      </c>
      <c r="U6" s="50">
        <v>4</v>
      </c>
      <c r="V6" s="61">
        <v>5</v>
      </c>
      <c r="W6" s="61">
        <v>6</v>
      </c>
      <c r="X6" s="50">
        <v>7</v>
      </c>
      <c r="Y6" s="60"/>
    </row>
    <row r="7" spans="1:25" ht="16.5" customHeight="1" thickTop="1" x14ac:dyDescent="0.35">
      <c r="A7" s="51"/>
      <c r="B7" s="20"/>
      <c r="C7" s="6"/>
      <c r="D7" s="18"/>
      <c r="E7" s="18"/>
      <c r="F7" s="18"/>
      <c r="G7" s="98" t="s">
        <v>15</v>
      </c>
      <c r="H7" s="98"/>
      <c r="I7" s="99" t="s">
        <v>16</v>
      </c>
      <c r="J7" s="52"/>
      <c r="L7" s="62"/>
      <c r="M7" s="63"/>
      <c r="N7" s="64"/>
      <c r="O7" s="65"/>
      <c r="P7" s="65"/>
      <c r="Q7" s="65"/>
      <c r="R7" s="66"/>
      <c r="S7" s="66"/>
      <c r="T7" s="65" t="s">
        <v>15</v>
      </c>
      <c r="U7" s="67"/>
      <c r="V7" s="68" t="s">
        <v>16</v>
      </c>
      <c r="W7" s="69" t="s">
        <v>19</v>
      </c>
      <c r="X7" s="70"/>
      <c r="Y7" s="71"/>
    </row>
    <row r="8" spans="1:25" ht="15" customHeight="1" x14ac:dyDescent="0.35">
      <c r="A8" s="51"/>
      <c r="B8" s="20"/>
      <c r="C8" s="6"/>
      <c r="D8" s="18"/>
      <c r="E8" s="18" t="s">
        <v>17</v>
      </c>
      <c r="F8" s="18" t="s">
        <v>4</v>
      </c>
      <c r="G8" s="98" t="s">
        <v>18</v>
      </c>
      <c r="H8" s="98" t="s">
        <v>19</v>
      </c>
      <c r="I8" s="99" t="s">
        <v>20</v>
      </c>
      <c r="J8" s="52"/>
      <c r="L8" s="51"/>
      <c r="M8" s="72"/>
      <c r="O8" s="73"/>
      <c r="P8" s="73" t="s">
        <v>25</v>
      </c>
      <c r="Q8" s="73" t="s">
        <v>4</v>
      </c>
      <c r="R8" s="74" t="s">
        <v>26</v>
      </c>
      <c r="S8" s="75"/>
      <c r="T8" s="73" t="s">
        <v>18</v>
      </c>
      <c r="U8" s="76" t="s">
        <v>19</v>
      </c>
      <c r="V8" s="77" t="s">
        <v>20</v>
      </c>
      <c r="W8" s="78" t="s">
        <v>27</v>
      </c>
      <c r="X8" s="70" t="s">
        <v>28</v>
      </c>
      <c r="Y8" s="52"/>
    </row>
    <row r="9" spans="1:25" ht="16.5" customHeight="1" thickBot="1" x14ac:dyDescent="0.4">
      <c r="A9" s="53"/>
      <c r="B9" s="100" t="s">
        <v>6</v>
      </c>
      <c r="C9" s="101"/>
      <c r="D9" s="25" t="s">
        <v>21</v>
      </c>
      <c r="E9" s="25" t="s">
        <v>22</v>
      </c>
      <c r="F9" s="25" t="s">
        <v>8</v>
      </c>
      <c r="G9" s="25" t="s">
        <v>5</v>
      </c>
      <c r="H9" s="25" t="s">
        <v>9</v>
      </c>
      <c r="I9" s="25" t="s">
        <v>9</v>
      </c>
      <c r="J9" s="54"/>
      <c r="L9" s="53"/>
      <c r="M9" s="79" t="s">
        <v>6</v>
      </c>
      <c r="N9" s="80"/>
      <c r="O9" s="81" t="s">
        <v>29</v>
      </c>
      <c r="P9" s="81" t="s">
        <v>22</v>
      </c>
      <c r="Q9" s="81" t="s">
        <v>8</v>
      </c>
      <c r="R9" s="82" t="s">
        <v>5</v>
      </c>
      <c r="S9" s="83" t="s">
        <v>9</v>
      </c>
      <c r="T9" s="81" t="s">
        <v>9</v>
      </c>
      <c r="U9" s="84" t="s">
        <v>9</v>
      </c>
      <c r="V9" s="84" t="s">
        <v>9</v>
      </c>
      <c r="W9" s="84" t="s">
        <v>5</v>
      </c>
      <c r="X9" s="83" t="s">
        <v>5</v>
      </c>
      <c r="Y9" s="54"/>
    </row>
    <row r="10" spans="1:25" ht="16.5" customHeight="1" thickTop="1" x14ac:dyDescent="0.35">
      <c r="A10" s="58">
        <v>1</v>
      </c>
      <c r="B10" s="31" t="s">
        <v>58</v>
      </c>
      <c r="C10" s="105">
        <v>2</v>
      </c>
      <c r="D10" s="32" t="s">
        <v>62</v>
      </c>
      <c r="E10" s="105" t="s">
        <v>70</v>
      </c>
      <c r="F10" s="105">
        <v>140</v>
      </c>
      <c r="G10" s="106">
        <f>H10+I10</f>
        <v>2171.94</v>
      </c>
      <c r="H10" s="106">
        <v>2049</v>
      </c>
      <c r="I10" s="106">
        <f>H10*0.06</f>
        <v>122.94</v>
      </c>
      <c r="J10" s="90">
        <v>1</v>
      </c>
      <c r="L10" s="58">
        <v>1</v>
      </c>
      <c r="M10" s="88"/>
      <c r="N10" s="89"/>
      <c r="O10" s="89"/>
      <c r="P10" s="93"/>
      <c r="Q10" s="93"/>
      <c r="R10" s="103"/>
      <c r="S10" s="103"/>
      <c r="T10" s="103"/>
      <c r="U10" s="103"/>
      <c r="V10" s="103"/>
      <c r="W10" s="103"/>
      <c r="X10" s="104"/>
      <c r="Y10" s="90">
        <v>1</v>
      </c>
    </row>
    <row r="11" spans="1:25" ht="16" customHeight="1" x14ac:dyDescent="0.35">
      <c r="A11" s="58">
        <v>2</v>
      </c>
      <c r="B11" s="36"/>
      <c r="C11" s="56">
        <v>4</v>
      </c>
      <c r="D11" s="37" t="s">
        <v>71</v>
      </c>
      <c r="E11" s="56" t="s">
        <v>72</v>
      </c>
      <c r="F11" s="105">
        <v>110</v>
      </c>
      <c r="G11" s="109">
        <f>H11+I11</f>
        <v>735.64</v>
      </c>
      <c r="H11" s="109">
        <v>694</v>
      </c>
      <c r="I11" s="109">
        <f>H11*0.06</f>
        <v>41.64</v>
      </c>
      <c r="J11" s="90">
        <v>2</v>
      </c>
      <c r="L11" s="55">
        <f t="shared" ref="L11:L14" si="0">L10+1</f>
        <v>2</v>
      </c>
      <c r="M11" s="85"/>
      <c r="N11" s="86"/>
      <c r="O11" s="96"/>
      <c r="P11" s="87"/>
      <c r="Q11" s="96"/>
      <c r="R11" s="107"/>
      <c r="S11" s="107"/>
      <c r="T11" s="107"/>
      <c r="U11" s="107"/>
      <c r="V11" s="107"/>
      <c r="W11" s="107"/>
      <c r="X11" s="108"/>
      <c r="Y11" s="57">
        <f t="shared" ref="Y11:Y14" si="1">Y10+1</f>
        <v>2</v>
      </c>
    </row>
    <row r="12" spans="1:25" ht="16" customHeight="1" x14ac:dyDescent="0.35">
      <c r="A12" s="58">
        <v>3</v>
      </c>
      <c r="B12" s="36"/>
      <c r="C12" s="56">
        <v>7</v>
      </c>
      <c r="D12" s="37" t="s">
        <v>61</v>
      </c>
      <c r="E12" s="56" t="s">
        <v>73</v>
      </c>
      <c r="F12" s="105">
        <v>130</v>
      </c>
      <c r="G12" s="109">
        <f>H12</f>
        <v>1648</v>
      </c>
      <c r="H12" s="109">
        <v>1648</v>
      </c>
      <c r="I12" s="175"/>
      <c r="J12" s="90">
        <v>3</v>
      </c>
      <c r="L12" s="55">
        <f t="shared" si="0"/>
        <v>3</v>
      </c>
      <c r="M12" s="110"/>
      <c r="N12" s="86"/>
      <c r="O12" s="89"/>
      <c r="P12" s="87"/>
      <c r="Q12" s="93"/>
      <c r="R12" s="107"/>
      <c r="S12" s="107"/>
      <c r="T12" s="107"/>
      <c r="U12" s="107"/>
      <c r="V12" s="107"/>
      <c r="W12" s="107"/>
      <c r="X12" s="111"/>
      <c r="Y12" s="57">
        <f t="shared" si="1"/>
        <v>3</v>
      </c>
    </row>
    <row r="13" spans="1:25" ht="16" customHeight="1" x14ac:dyDescent="0.35">
      <c r="A13" s="58">
        <v>4</v>
      </c>
      <c r="B13" s="31"/>
      <c r="C13" s="56">
        <v>9</v>
      </c>
      <c r="D13" s="37" t="s">
        <v>74</v>
      </c>
      <c r="E13" s="56" t="s">
        <v>75</v>
      </c>
      <c r="F13" s="105">
        <v>150</v>
      </c>
      <c r="G13" s="106">
        <f>H13+I13</f>
        <v>877.68</v>
      </c>
      <c r="H13" s="106">
        <v>828</v>
      </c>
      <c r="I13" s="106">
        <f>H13*0.06</f>
        <v>49.68</v>
      </c>
      <c r="J13" s="90">
        <v>4</v>
      </c>
      <c r="L13" s="58">
        <f t="shared" si="0"/>
        <v>4</v>
      </c>
      <c r="M13" s="88"/>
      <c r="N13" s="89"/>
      <c r="O13" s="96"/>
      <c r="P13" s="93"/>
      <c r="Q13" s="96"/>
      <c r="R13" s="107"/>
      <c r="S13" s="107"/>
      <c r="T13" s="107"/>
      <c r="U13" s="107"/>
      <c r="V13" s="107"/>
      <c r="W13" s="107"/>
      <c r="X13" s="111"/>
      <c r="Y13" s="90">
        <f t="shared" si="1"/>
        <v>4</v>
      </c>
    </row>
    <row r="14" spans="1:25" ht="16" customHeight="1" x14ac:dyDescent="0.35">
      <c r="A14" s="58">
        <v>5</v>
      </c>
      <c r="B14" s="31"/>
      <c r="C14" s="56">
        <v>19</v>
      </c>
      <c r="D14" s="37" t="s">
        <v>60</v>
      </c>
      <c r="E14" s="56" t="s">
        <v>76</v>
      </c>
      <c r="F14" s="105">
        <v>120</v>
      </c>
      <c r="G14" s="106">
        <f>H14+I14</f>
        <v>2064.88</v>
      </c>
      <c r="H14" s="106">
        <v>1948</v>
      </c>
      <c r="I14" s="106">
        <f>H14*0.06</f>
        <v>116.88</v>
      </c>
      <c r="J14" s="90">
        <v>5</v>
      </c>
      <c r="L14" s="55">
        <f t="shared" si="0"/>
        <v>5</v>
      </c>
      <c r="M14" s="85"/>
      <c r="N14" s="86"/>
      <c r="O14" s="89"/>
      <c r="P14" s="93"/>
      <c r="Q14" s="93"/>
      <c r="R14" s="107"/>
      <c r="S14" s="107"/>
      <c r="T14" s="107"/>
      <c r="U14" s="107"/>
      <c r="V14" s="107"/>
      <c r="W14" s="107"/>
      <c r="X14" s="111"/>
      <c r="Y14" s="57">
        <f t="shared" si="1"/>
        <v>5</v>
      </c>
    </row>
    <row r="15" spans="1:25" ht="16" customHeight="1" thickBot="1" x14ac:dyDescent="0.4">
      <c r="A15" s="58">
        <v>6</v>
      </c>
      <c r="B15" s="36"/>
      <c r="C15" s="56">
        <v>25</v>
      </c>
      <c r="D15" s="37" t="str">
        <f>D11</f>
        <v>Centeral Medical Clinic</v>
      </c>
      <c r="E15" s="56" t="s">
        <v>77</v>
      </c>
      <c r="F15" s="105">
        <v>110</v>
      </c>
      <c r="G15" s="106">
        <f>H15+I15</f>
        <v>3690.92</v>
      </c>
      <c r="H15" s="106">
        <v>3482</v>
      </c>
      <c r="I15" s="106">
        <f>H15*0.06</f>
        <v>208.92</v>
      </c>
      <c r="J15" s="90">
        <v>6</v>
      </c>
      <c r="L15" s="55">
        <f>L14+1</f>
        <v>6</v>
      </c>
      <c r="M15" s="85"/>
      <c r="N15" s="86"/>
      <c r="O15" s="96"/>
      <c r="P15" s="93"/>
      <c r="Q15" s="96"/>
      <c r="R15" s="107"/>
      <c r="S15" s="107"/>
      <c r="T15" s="107"/>
      <c r="U15" s="107"/>
      <c r="V15" s="107"/>
      <c r="W15" s="107"/>
      <c r="X15" s="111"/>
      <c r="Y15" s="57">
        <f>Y14+1</f>
        <v>6</v>
      </c>
    </row>
    <row r="16" spans="1:25" ht="16" customHeight="1" thickTop="1" thickBot="1" x14ac:dyDescent="0.4">
      <c r="A16" s="58">
        <v>7</v>
      </c>
      <c r="B16" s="36"/>
      <c r="C16" s="105">
        <v>30</v>
      </c>
      <c r="D16" s="32" t="s">
        <v>35</v>
      </c>
      <c r="E16" s="105"/>
      <c r="F16" s="32"/>
      <c r="G16" s="122">
        <f>SUM(G10:G15)</f>
        <v>11189.060000000001</v>
      </c>
      <c r="H16" s="122">
        <f>SUM(H10:H15)</f>
        <v>10649</v>
      </c>
      <c r="I16" s="122">
        <f>SUM(I10:I15)</f>
        <v>540.05999999999995</v>
      </c>
      <c r="J16" s="90">
        <v>7</v>
      </c>
      <c r="L16" s="55">
        <f>L15+1</f>
        <v>7</v>
      </c>
      <c r="M16" s="85"/>
      <c r="N16" s="86"/>
      <c r="O16" s="89"/>
      <c r="P16" s="93"/>
      <c r="Q16" s="93"/>
      <c r="R16" s="107"/>
      <c r="S16" s="107"/>
      <c r="T16" s="107"/>
      <c r="U16" s="107"/>
      <c r="V16" s="107"/>
      <c r="W16" s="107"/>
      <c r="X16" s="111"/>
      <c r="Y16" s="57">
        <f>Y15+1</f>
        <v>7</v>
      </c>
    </row>
    <row r="17" spans="1:25" ht="16" thickTop="1" x14ac:dyDescent="0.35">
      <c r="A17" s="58">
        <v>8</v>
      </c>
      <c r="B17" s="36"/>
      <c r="C17" s="56"/>
      <c r="D17" s="37"/>
      <c r="E17" s="56"/>
      <c r="F17" s="37"/>
      <c r="G17" s="123" t="s">
        <v>78</v>
      </c>
      <c r="H17" s="123" t="s">
        <v>79</v>
      </c>
      <c r="I17" s="123" t="s">
        <v>80</v>
      </c>
      <c r="J17" s="90">
        <v>8</v>
      </c>
      <c r="L17" s="55">
        <f>L16+1</f>
        <v>8</v>
      </c>
      <c r="M17" s="85"/>
      <c r="N17" s="86"/>
      <c r="O17" s="86"/>
      <c r="P17" s="112"/>
      <c r="Q17" s="112"/>
      <c r="R17" s="107"/>
      <c r="S17" s="107"/>
      <c r="T17" s="107"/>
      <c r="U17" s="107"/>
      <c r="V17" s="107"/>
      <c r="W17" s="107"/>
      <c r="X17" s="111"/>
      <c r="Y17" s="57">
        <f>Y16+1</f>
        <v>8</v>
      </c>
    </row>
    <row r="18" spans="1:25" ht="15.5" x14ac:dyDescent="0.35">
      <c r="A18" s="58">
        <v>9</v>
      </c>
      <c r="B18" s="36"/>
      <c r="C18" s="56"/>
      <c r="D18" s="37"/>
      <c r="E18" s="56"/>
      <c r="F18" s="37"/>
      <c r="G18" s="109"/>
      <c r="H18" s="109"/>
      <c r="I18" s="109"/>
      <c r="J18" s="90">
        <v>9</v>
      </c>
      <c r="L18" s="55">
        <f>L17+1</f>
        <v>9</v>
      </c>
      <c r="M18" s="85"/>
      <c r="N18" s="86"/>
      <c r="O18" s="86"/>
      <c r="P18" s="112"/>
      <c r="Q18" s="112"/>
      <c r="R18" s="103"/>
      <c r="S18" s="103"/>
      <c r="T18" s="169"/>
      <c r="U18" s="169"/>
      <c r="V18" s="169"/>
      <c r="W18" s="169"/>
      <c r="X18" s="169"/>
      <c r="Y18" s="57">
        <f>Y17+1</f>
        <v>9</v>
      </c>
    </row>
    <row r="20" spans="1:25" ht="14" x14ac:dyDescent="0.3">
      <c r="C20" s="113" t="s">
        <v>32</v>
      </c>
      <c r="D20" s="114"/>
      <c r="E20" s="114"/>
      <c r="F20" s="114"/>
      <c r="N20" s="113" t="s">
        <v>32</v>
      </c>
      <c r="O20" s="114"/>
      <c r="P20" s="114"/>
      <c r="Q20" s="114"/>
      <c r="R20" s="97"/>
      <c r="S20" s="97"/>
      <c r="T20" s="97"/>
      <c r="U20" s="97"/>
      <c r="V20" s="97"/>
      <c r="W20" s="97"/>
      <c r="X20" s="97"/>
    </row>
    <row r="21" spans="1:25" ht="15.5" x14ac:dyDescent="0.35">
      <c r="C21" s="113" t="s">
        <v>33</v>
      </c>
      <c r="D21" s="113" t="s">
        <v>34</v>
      </c>
      <c r="E21" s="113" t="s">
        <v>35</v>
      </c>
      <c r="F21" s="113" t="s">
        <v>35</v>
      </c>
      <c r="N21" s="113" t="s">
        <v>33</v>
      </c>
      <c r="O21" s="113" t="s">
        <v>34</v>
      </c>
      <c r="P21" s="113" t="s">
        <v>35</v>
      </c>
      <c r="Q21" s="113" t="s">
        <v>35</v>
      </c>
      <c r="S21" s="181" t="s">
        <v>36</v>
      </c>
      <c r="T21" s="181"/>
      <c r="U21" s="181"/>
      <c r="V21" s="181"/>
      <c r="W21" s="181"/>
      <c r="X21" s="181"/>
    </row>
    <row r="22" spans="1:25" ht="15.5" x14ac:dyDescent="0.35">
      <c r="C22" s="115">
        <v>1</v>
      </c>
      <c r="D22" s="114" t="s">
        <v>37</v>
      </c>
      <c r="E22" s="116">
        <f>G16</f>
        <v>11189.060000000001</v>
      </c>
      <c r="F22" s="117"/>
      <c r="N22" s="115">
        <v>1</v>
      </c>
      <c r="O22" s="114" t="s">
        <v>38</v>
      </c>
      <c r="P22" s="116"/>
      <c r="Q22" s="117"/>
      <c r="S22" s="6" t="s">
        <v>39</v>
      </c>
      <c r="X22" s="118">
        <v>16489.36</v>
      </c>
    </row>
    <row r="23" spans="1:25" ht="15.5" x14ac:dyDescent="0.35">
      <c r="C23" s="115">
        <v>2</v>
      </c>
      <c r="D23" s="114" t="s">
        <v>40</v>
      </c>
      <c r="E23" s="117"/>
      <c r="F23" s="116">
        <f>H16</f>
        <v>10649</v>
      </c>
      <c r="N23" s="115">
        <v>2</v>
      </c>
      <c r="O23" s="114" t="s">
        <v>41</v>
      </c>
      <c r="P23" s="117"/>
      <c r="Q23" s="116"/>
      <c r="S23" s="119" t="s">
        <v>42</v>
      </c>
      <c r="X23" s="118"/>
    </row>
    <row r="24" spans="1:25" ht="15.5" x14ac:dyDescent="0.35">
      <c r="C24" s="115">
        <v>3</v>
      </c>
      <c r="D24" s="114" t="s">
        <v>43</v>
      </c>
      <c r="E24" s="117"/>
      <c r="F24" s="116">
        <f>I16</f>
        <v>540.05999999999995</v>
      </c>
      <c r="N24" s="115">
        <v>3</v>
      </c>
      <c r="O24" s="114" t="s">
        <v>44</v>
      </c>
      <c r="P24" s="117"/>
      <c r="Q24" s="116"/>
      <c r="S24" s="119" t="s">
        <v>45</v>
      </c>
      <c r="X24" s="118"/>
    </row>
    <row r="25" spans="1:25" ht="16" thickBot="1" x14ac:dyDescent="0.4">
      <c r="C25" s="114"/>
      <c r="D25" s="114" t="s">
        <v>35</v>
      </c>
      <c r="E25" s="120">
        <f>SUM(E22:E24)</f>
        <v>11189.060000000001</v>
      </c>
      <c r="F25" s="120">
        <f>SUM(F23:F24)</f>
        <v>11189.06</v>
      </c>
      <c r="N25" s="115">
        <v>4</v>
      </c>
      <c r="O25" s="114" t="s">
        <v>40</v>
      </c>
      <c r="P25" s="117"/>
      <c r="Q25" s="116"/>
      <c r="S25" s="119" t="s">
        <v>46</v>
      </c>
      <c r="X25" s="118">
        <v>14474.63</v>
      </c>
    </row>
    <row r="26" spans="1:25" ht="16.5" thickTop="1" thickBot="1" x14ac:dyDescent="0.4">
      <c r="A26" s="158"/>
      <c r="B26" s="158"/>
      <c r="C26" s="158"/>
      <c r="D26" s="102"/>
      <c r="E26" s="158"/>
      <c r="F26" s="158"/>
      <c r="G26" s="2"/>
      <c r="H26" s="159"/>
      <c r="I26" s="158"/>
      <c r="N26" s="115">
        <v>5</v>
      </c>
      <c r="O26" s="114" t="s">
        <v>43</v>
      </c>
      <c r="P26" s="117"/>
      <c r="Q26" s="116"/>
      <c r="S26" s="119" t="s">
        <v>47</v>
      </c>
      <c r="X26" s="121"/>
    </row>
    <row r="27" spans="1:25" ht="16.5" thickTop="1" thickBot="1" x14ac:dyDescent="0.4">
      <c r="A27" s="160"/>
      <c r="B27" s="160"/>
      <c r="C27" s="160"/>
      <c r="D27" s="160"/>
      <c r="E27" s="160"/>
      <c r="F27" s="160"/>
      <c r="G27" s="61"/>
      <c r="H27" s="61"/>
      <c r="I27" s="160"/>
      <c r="N27" s="115">
        <v>6</v>
      </c>
      <c r="O27" s="114" t="s">
        <v>48</v>
      </c>
      <c r="P27" s="116"/>
      <c r="Q27" s="117"/>
      <c r="S27" s="6" t="s">
        <v>49</v>
      </c>
      <c r="X27" s="121"/>
    </row>
    <row r="28" spans="1:25" ht="16" thickTop="1" x14ac:dyDescent="0.35">
      <c r="A28" s="91"/>
      <c r="B28" s="91"/>
      <c r="C28" s="91"/>
      <c r="D28" s="161"/>
      <c r="E28" s="161"/>
      <c r="F28" s="161"/>
      <c r="G28" s="92"/>
      <c r="H28" s="92"/>
      <c r="I28" s="91"/>
      <c r="N28" s="115">
        <v>7</v>
      </c>
      <c r="O28" s="114" t="s">
        <v>50</v>
      </c>
      <c r="P28" s="116"/>
      <c r="Q28" s="117"/>
      <c r="S28" s="6"/>
    </row>
    <row r="29" spans="1:25" ht="16" thickBot="1" x14ac:dyDescent="0.4">
      <c r="A29" s="91"/>
      <c r="B29" s="162"/>
      <c r="C29" s="162"/>
      <c r="D29" s="161"/>
      <c r="E29" s="161"/>
      <c r="F29" s="161"/>
      <c r="G29" s="161"/>
      <c r="H29" s="161"/>
      <c r="I29" s="91"/>
      <c r="N29" s="114"/>
      <c r="O29" s="114" t="s">
        <v>35</v>
      </c>
      <c r="P29" s="120"/>
      <c r="Q29" s="120"/>
      <c r="S29" s="6"/>
    </row>
    <row r="30" spans="1:25" ht="14.5" thickTop="1" x14ac:dyDescent="0.3">
      <c r="A30" s="160"/>
      <c r="B30" s="163"/>
      <c r="C30" s="164"/>
      <c r="D30" s="165"/>
      <c r="E30" s="164"/>
      <c r="F30" s="163"/>
      <c r="G30" s="166"/>
      <c r="H30" s="166"/>
      <c r="I30" s="167"/>
    </row>
    <row r="31" spans="1:25" ht="14" x14ac:dyDescent="0.3">
      <c r="A31" s="160"/>
      <c r="B31" s="163"/>
      <c r="C31" s="164"/>
      <c r="D31" s="165"/>
      <c r="E31" s="164"/>
      <c r="F31" s="163"/>
      <c r="G31" s="166"/>
      <c r="H31" s="166"/>
      <c r="I31" s="167"/>
    </row>
    <row r="32" spans="1:25" ht="14" x14ac:dyDescent="0.3">
      <c r="A32" s="160"/>
      <c r="B32" s="163"/>
      <c r="C32" s="164"/>
      <c r="D32" s="168"/>
      <c r="E32" s="164"/>
      <c r="F32" s="163"/>
      <c r="G32" s="166"/>
      <c r="H32" s="166"/>
      <c r="I32" s="167"/>
    </row>
    <row r="33" spans="1:9" ht="14" x14ac:dyDescent="0.3">
      <c r="A33" s="160"/>
      <c r="B33" s="163"/>
      <c r="C33" s="164"/>
      <c r="D33" s="165"/>
      <c r="E33" s="164"/>
      <c r="F33" s="163"/>
      <c r="G33" s="166"/>
      <c r="H33" s="166"/>
      <c r="I33" s="167"/>
    </row>
    <row r="34" spans="1:9" ht="14" x14ac:dyDescent="0.3">
      <c r="A34" s="160"/>
      <c r="B34" s="163"/>
      <c r="C34" s="164"/>
      <c r="D34" s="165"/>
      <c r="E34" s="164"/>
      <c r="F34" s="163"/>
      <c r="G34" s="166"/>
      <c r="H34" s="166"/>
      <c r="I34" s="167"/>
    </row>
    <row r="35" spans="1:9" ht="14" x14ac:dyDescent="0.3">
      <c r="A35" s="160"/>
      <c r="B35" s="163"/>
      <c r="C35" s="164"/>
      <c r="D35" s="165"/>
      <c r="E35" s="164"/>
      <c r="F35" s="163"/>
      <c r="G35" s="166"/>
      <c r="H35" s="166"/>
      <c r="I35" s="167"/>
    </row>
  </sheetData>
  <mergeCells count="1">
    <mergeCell ref="S21:X21"/>
  </mergeCells>
  <printOptions horizontalCentered="1"/>
  <pageMargins left="0.25" right="0.25" top="0.5" bottom="0.5" header="0.5" footer="0.5"/>
  <pageSetup scale="96" orientation="landscape" r:id="rId1"/>
  <headerFooter alignWithMargins="0"/>
  <colBreaks count="1" manualBreakCount="1">
    <brk id="11" max="1048575" man="1"/>
  </col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IV47"/>
  <sheetViews>
    <sheetView topLeftCell="A31" zoomScaleNormal="100" workbookViewId="0">
      <selection activeCell="H19" sqref="H19"/>
    </sheetView>
  </sheetViews>
  <sheetFormatPr defaultRowHeight="12.5" x14ac:dyDescent="0.25"/>
  <cols>
    <col min="1" max="1" width="1.453125" style="128" customWidth="1"/>
    <col min="2" max="2" width="5.54296875" style="128" customWidth="1"/>
    <col min="3" max="3" width="3.54296875" style="128" customWidth="1"/>
    <col min="4" max="4" width="36.54296875" style="128" customWidth="1"/>
    <col min="5" max="5" width="7" style="128" customWidth="1"/>
    <col min="6" max="7" width="11.81640625" style="128" bestFit="1" customWidth="1"/>
    <col min="8" max="8" width="12.1796875" style="128" customWidth="1"/>
    <col min="9" max="9" width="12.81640625" style="128" bestFit="1" customWidth="1"/>
    <col min="10" max="10" width="1.453125" style="128" customWidth="1"/>
    <col min="11" max="256" width="9.1796875" style="128"/>
  </cols>
  <sheetData>
    <row r="1" spans="1:10" ht="15.5" x14ac:dyDescent="0.35">
      <c r="A1" s="1" t="s">
        <v>68</v>
      </c>
      <c r="B1" s="124"/>
      <c r="C1" s="124"/>
      <c r="D1" s="124"/>
      <c r="E1" s="125" t="s">
        <v>0</v>
      </c>
      <c r="F1" s="126" t="s">
        <v>69</v>
      </c>
      <c r="G1" s="127"/>
      <c r="H1" s="124"/>
      <c r="I1" s="124"/>
      <c r="J1" s="124"/>
    </row>
    <row r="2" spans="1:10" ht="15.5" x14ac:dyDescent="0.35">
      <c r="A2" s="1" t="s">
        <v>67</v>
      </c>
      <c r="B2" s="124"/>
      <c r="C2" s="124"/>
      <c r="D2" s="124"/>
      <c r="E2" s="124"/>
      <c r="F2" s="124"/>
      <c r="G2" s="124"/>
      <c r="H2" s="124"/>
      <c r="I2" s="124"/>
      <c r="J2" s="124"/>
    </row>
    <row r="3" spans="1:10" ht="15.5" x14ac:dyDescent="0.35">
      <c r="A3" s="124"/>
      <c r="B3" s="124"/>
      <c r="C3" s="124"/>
      <c r="D3" s="124"/>
      <c r="E3" s="124"/>
      <c r="F3" s="124"/>
      <c r="G3" s="124"/>
      <c r="H3" s="124"/>
      <c r="I3" s="124"/>
      <c r="J3" s="124"/>
    </row>
    <row r="5" spans="1:10" ht="14" x14ac:dyDescent="0.3">
      <c r="B5" s="129"/>
      <c r="C5" s="129" t="s">
        <v>51</v>
      </c>
      <c r="D5" s="130" t="s">
        <v>52</v>
      </c>
      <c r="F5" s="129"/>
      <c r="G5" s="129"/>
      <c r="H5" s="129" t="s">
        <v>53</v>
      </c>
      <c r="I5" s="130">
        <v>1110</v>
      </c>
    </row>
    <row r="6" spans="1:10" ht="13" thickBot="1" x14ac:dyDescent="0.3">
      <c r="A6" s="131"/>
      <c r="B6" s="131"/>
      <c r="C6" s="131"/>
      <c r="D6" s="131"/>
      <c r="E6" s="131"/>
      <c r="F6" s="131"/>
      <c r="G6" s="131"/>
      <c r="H6" s="131"/>
      <c r="I6" s="131"/>
      <c r="J6" s="131"/>
    </row>
    <row r="7" spans="1:10" ht="13" thickTop="1" x14ac:dyDescent="0.25">
      <c r="A7" s="132"/>
      <c r="B7" s="133"/>
      <c r="D7" s="134"/>
      <c r="E7" s="134" t="s">
        <v>4</v>
      </c>
      <c r="F7" s="134"/>
      <c r="G7" s="134"/>
      <c r="H7" s="135" t="s">
        <v>10</v>
      </c>
      <c r="I7" s="136"/>
      <c r="J7" s="137"/>
    </row>
    <row r="8" spans="1:10" ht="13" thickBot="1" x14ac:dyDescent="0.3">
      <c r="A8" s="138"/>
      <c r="B8" s="139" t="s">
        <v>6</v>
      </c>
      <c r="C8" s="140"/>
      <c r="D8" s="141" t="s">
        <v>7</v>
      </c>
      <c r="E8" s="141" t="s">
        <v>8</v>
      </c>
      <c r="F8" s="141" t="s">
        <v>5</v>
      </c>
      <c r="G8" s="141" t="s">
        <v>9</v>
      </c>
      <c r="H8" s="141" t="s">
        <v>5</v>
      </c>
      <c r="I8" s="141" t="s">
        <v>9</v>
      </c>
      <c r="J8" s="142"/>
    </row>
    <row r="9" spans="1:10" ht="14.5" thickTop="1" x14ac:dyDescent="0.3">
      <c r="A9" s="143"/>
      <c r="B9" s="144" t="s">
        <v>58</v>
      </c>
      <c r="C9" s="145">
        <v>1</v>
      </c>
      <c r="D9" s="146" t="s">
        <v>11</v>
      </c>
      <c r="E9" s="147" t="s">
        <v>54</v>
      </c>
      <c r="F9" s="103"/>
      <c r="G9" s="103"/>
      <c r="H9" s="103">
        <v>16489.36</v>
      </c>
      <c r="I9" s="103"/>
      <c r="J9" s="148"/>
    </row>
    <row r="10" spans="1:10" ht="14" x14ac:dyDescent="0.3">
      <c r="A10" s="143"/>
      <c r="B10" s="144"/>
      <c r="C10" s="145">
        <v>30</v>
      </c>
      <c r="D10" s="146"/>
      <c r="E10" s="145" t="s">
        <v>66</v>
      </c>
      <c r="F10" s="103"/>
      <c r="G10" s="103">
        <v>14474.63</v>
      </c>
      <c r="H10" s="103">
        <f>H9-G10</f>
        <v>2014.7300000000014</v>
      </c>
      <c r="I10" s="103"/>
      <c r="J10" s="148"/>
    </row>
    <row r="11" spans="1:10" ht="14" x14ac:dyDescent="0.3">
      <c r="A11" s="143"/>
      <c r="B11" s="144"/>
      <c r="C11" s="145"/>
      <c r="D11" s="146"/>
      <c r="E11" s="145"/>
      <c r="F11" s="103"/>
      <c r="G11" s="103"/>
      <c r="H11" s="103"/>
      <c r="I11" s="103"/>
      <c r="J11" s="148"/>
    </row>
    <row r="14" spans="1:10" ht="14" x14ac:dyDescent="0.3">
      <c r="B14" s="129"/>
      <c r="C14" s="129" t="s">
        <v>51</v>
      </c>
      <c r="D14" s="130" t="s">
        <v>55</v>
      </c>
      <c r="G14" s="129"/>
      <c r="H14" s="129" t="s">
        <v>53</v>
      </c>
      <c r="I14" s="130">
        <v>1130</v>
      </c>
    </row>
    <row r="15" spans="1:10" ht="13" thickBot="1" x14ac:dyDescent="0.3">
      <c r="A15" s="131"/>
      <c r="B15" s="131"/>
      <c r="C15" s="131"/>
      <c r="D15" s="131"/>
      <c r="E15" s="131"/>
      <c r="F15" s="131"/>
      <c r="G15" s="131"/>
      <c r="H15" s="131"/>
      <c r="I15" s="131"/>
      <c r="J15" s="131"/>
    </row>
    <row r="16" spans="1:10" ht="13" thickTop="1" x14ac:dyDescent="0.25">
      <c r="A16" s="132"/>
      <c r="B16" s="133"/>
      <c r="D16" s="134"/>
      <c r="E16" s="134" t="s">
        <v>4</v>
      </c>
      <c r="F16" s="134"/>
      <c r="G16" s="134"/>
      <c r="H16" s="135" t="s">
        <v>10</v>
      </c>
      <c r="I16" s="136"/>
      <c r="J16" s="137"/>
    </row>
    <row r="17" spans="1:10" ht="13" thickBot="1" x14ac:dyDescent="0.3">
      <c r="A17" s="138"/>
      <c r="B17" s="139" t="s">
        <v>6</v>
      </c>
      <c r="C17" s="140"/>
      <c r="D17" s="141" t="s">
        <v>7</v>
      </c>
      <c r="E17" s="141" t="s">
        <v>8</v>
      </c>
      <c r="F17" s="141" t="s">
        <v>5</v>
      </c>
      <c r="G17" s="141" t="s">
        <v>9</v>
      </c>
      <c r="H17" s="141" t="s">
        <v>5</v>
      </c>
      <c r="I17" s="141" t="s">
        <v>9</v>
      </c>
      <c r="J17" s="142"/>
    </row>
    <row r="18" spans="1:10" ht="14.5" thickTop="1" x14ac:dyDescent="0.3">
      <c r="A18" s="143"/>
      <c r="B18" s="144" t="s">
        <v>58</v>
      </c>
      <c r="C18" s="145">
        <v>1</v>
      </c>
      <c r="D18" s="146"/>
      <c r="E18" s="147" t="s">
        <v>54</v>
      </c>
      <c r="F18" s="103"/>
      <c r="G18" s="103"/>
      <c r="H18" s="103">
        <v>10277.629999999999</v>
      </c>
      <c r="I18" s="103"/>
      <c r="J18" s="148"/>
    </row>
    <row r="19" spans="1:10" ht="14" x14ac:dyDescent="0.3">
      <c r="A19" s="143"/>
      <c r="B19" s="144"/>
      <c r="C19" s="145">
        <v>30</v>
      </c>
      <c r="D19" s="146"/>
      <c r="E19" s="145" t="s">
        <v>65</v>
      </c>
      <c r="F19" s="103">
        <v>11189.06</v>
      </c>
      <c r="G19" s="103"/>
      <c r="H19" s="103">
        <f>H18+F19</f>
        <v>21466.69</v>
      </c>
      <c r="I19" s="103"/>
      <c r="J19" s="148"/>
    </row>
    <row r="20" spans="1:10" ht="14" x14ac:dyDescent="0.3">
      <c r="A20" s="143"/>
      <c r="B20" s="144"/>
      <c r="C20" s="145"/>
      <c r="D20" s="146"/>
      <c r="E20" s="145"/>
      <c r="F20" s="103"/>
      <c r="G20" s="103"/>
      <c r="H20" s="103"/>
      <c r="I20" s="103"/>
      <c r="J20" s="148"/>
    </row>
    <row r="22" spans="1:10" x14ac:dyDescent="0.25">
      <c r="B22" s="149"/>
    </row>
    <row r="23" spans="1:10" ht="14" x14ac:dyDescent="0.3">
      <c r="B23" s="129"/>
      <c r="C23" s="129" t="s">
        <v>51</v>
      </c>
      <c r="D23" s="130" t="s">
        <v>30</v>
      </c>
      <c r="F23" s="129"/>
      <c r="G23" s="129"/>
      <c r="H23" s="129" t="s">
        <v>53</v>
      </c>
      <c r="I23" s="130">
        <v>2120</v>
      </c>
    </row>
    <row r="24" spans="1:10" ht="13" thickBot="1" x14ac:dyDescent="0.3">
      <c r="A24" s="131"/>
      <c r="B24" s="131"/>
      <c r="C24" s="131"/>
      <c r="D24" s="131"/>
      <c r="E24" s="131"/>
      <c r="F24" s="131"/>
      <c r="G24" s="131"/>
      <c r="H24" s="131"/>
      <c r="I24" s="131"/>
      <c r="J24" s="131"/>
    </row>
    <row r="25" spans="1:10" ht="13" thickTop="1" x14ac:dyDescent="0.25">
      <c r="A25" s="132"/>
      <c r="B25" s="133"/>
      <c r="D25" s="134"/>
      <c r="E25" s="134" t="s">
        <v>4</v>
      </c>
      <c r="F25" s="134"/>
      <c r="G25" s="134"/>
      <c r="H25" s="135" t="s">
        <v>10</v>
      </c>
      <c r="I25" s="136"/>
      <c r="J25" s="137"/>
    </row>
    <row r="26" spans="1:10" ht="13" thickBot="1" x14ac:dyDescent="0.3">
      <c r="A26" s="138"/>
      <c r="B26" s="139" t="s">
        <v>6</v>
      </c>
      <c r="C26" s="140"/>
      <c r="D26" s="141" t="s">
        <v>7</v>
      </c>
      <c r="E26" s="141" t="s">
        <v>8</v>
      </c>
      <c r="F26" s="141" t="s">
        <v>5</v>
      </c>
      <c r="G26" s="141" t="s">
        <v>9</v>
      </c>
      <c r="H26" s="141" t="s">
        <v>5</v>
      </c>
      <c r="I26" s="141" t="s">
        <v>9</v>
      </c>
      <c r="J26" s="142"/>
    </row>
    <row r="27" spans="1:10" ht="14.5" thickTop="1" x14ac:dyDescent="0.3">
      <c r="A27" s="143"/>
      <c r="B27" s="144" t="s">
        <v>58</v>
      </c>
      <c r="C27" s="145">
        <v>1</v>
      </c>
      <c r="D27" s="146"/>
      <c r="E27" s="147" t="s">
        <v>54</v>
      </c>
      <c r="F27" s="103"/>
      <c r="G27" s="103"/>
      <c r="H27" s="103"/>
      <c r="I27" s="103">
        <v>945.18</v>
      </c>
      <c r="J27" s="148"/>
    </row>
    <row r="28" spans="1:10" ht="14" x14ac:dyDescent="0.3">
      <c r="A28" s="143"/>
      <c r="B28" s="144"/>
      <c r="C28" s="145">
        <v>30</v>
      </c>
      <c r="D28" s="146"/>
      <c r="E28" s="145" t="s">
        <v>65</v>
      </c>
      <c r="F28" s="103"/>
      <c r="G28" s="103">
        <v>540.05999999999995</v>
      </c>
      <c r="H28" s="103"/>
      <c r="I28" s="103">
        <f>I27+G28</f>
        <v>1485.2399999999998</v>
      </c>
      <c r="J28" s="148"/>
    </row>
    <row r="29" spans="1:10" ht="14" x14ac:dyDescent="0.3">
      <c r="A29" s="143"/>
      <c r="B29" s="144"/>
      <c r="C29" s="145"/>
      <c r="D29" s="146"/>
      <c r="E29" s="145"/>
      <c r="F29" s="103"/>
      <c r="G29" s="103"/>
      <c r="H29" s="103"/>
      <c r="I29" s="103"/>
      <c r="J29" s="148"/>
    </row>
    <row r="32" spans="1:10" ht="14" x14ac:dyDescent="0.3">
      <c r="B32" s="129"/>
      <c r="C32" s="129" t="s">
        <v>51</v>
      </c>
      <c r="D32" s="130" t="s">
        <v>56</v>
      </c>
      <c r="F32" s="129"/>
      <c r="G32" s="129"/>
      <c r="H32" s="129" t="s">
        <v>53</v>
      </c>
      <c r="I32" s="130">
        <v>4110</v>
      </c>
    </row>
    <row r="33" spans="1:10" ht="13" thickBot="1" x14ac:dyDescent="0.3">
      <c r="A33" s="131"/>
      <c r="B33" s="131"/>
      <c r="C33" s="131"/>
      <c r="D33" s="131"/>
      <c r="E33" s="131"/>
      <c r="F33" s="131"/>
      <c r="G33" s="131"/>
      <c r="H33" s="131"/>
      <c r="I33" s="131"/>
      <c r="J33" s="131"/>
    </row>
    <row r="34" spans="1:10" ht="13" thickTop="1" x14ac:dyDescent="0.25">
      <c r="A34" s="132"/>
      <c r="B34" s="133"/>
      <c r="D34" s="134"/>
      <c r="E34" s="134" t="s">
        <v>4</v>
      </c>
      <c r="F34" s="134"/>
      <c r="G34" s="134"/>
      <c r="H34" s="135" t="s">
        <v>10</v>
      </c>
      <c r="I34" s="136"/>
      <c r="J34" s="137"/>
    </row>
    <row r="35" spans="1:10" ht="13" thickBot="1" x14ac:dyDescent="0.3">
      <c r="A35" s="138"/>
      <c r="B35" s="139" t="s">
        <v>6</v>
      </c>
      <c r="C35" s="140"/>
      <c r="D35" s="141" t="s">
        <v>7</v>
      </c>
      <c r="E35" s="141" t="s">
        <v>8</v>
      </c>
      <c r="F35" s="141" t="s">
        <v>5</v>
      </c>
      <c r="G35" s="141" t="s">
        <v>9</v>
      </c>
      <c r="H35" s="141" t="s">
        <v>5</v>
      </c>
      <c r="I35" s="141" t="s">
        <v>9</v>
      </c>
      <c r="J35" s="142"/>
    </row>
    <row r="36" spans="1:10" ht="14.5" thickTop="1" x14ac:dyDescent="0.3">
      <c r="A36" s="143"/>
      <c r="B36" s="144" t="s">
        <v>58</v>
      </c>
      <c r="C36" s="145">
        <v>1</v>
      </c>
      <c r="D36" s="103" t="s">
        <v>11</v>
      </c>
      <c r="E36" s="147" t="s">
        <v>54</v>
      </c>
      <c r="F36" s="103"/>
      <c r="G36" s="103"/>
      <c r="H36" s="103"/>
      <c r="I36" s="103">
        <v>194735.26</v>
      </c>
      <c r="J36" s="148"/>
    </row>
    <row r="37" spans="1:10" ht="14" x14ac:dyDescent="0.3">
      <c r="A37" s="150"/>
      <c r="B37" s="151"/>
      <c r="C37" s="152">
        <v>30</v>
      </c>
      <c r="D37" s="107"/>
      <c r="E37" s="153" t="s">
        <v>65</v>
      </c>
      <c r="F37" s="107"/>
      <c r="G37" s="107">
        <v>10649</v>
      </c>
      <c r="H37" s="107"/>
      <c r="I37" s="107">
        <f>I36+G37</f>
        <v>205384.26</v>
      </c>
      <c r="J37" s="154"/>
    </row>
    <row r="38" spans="1:10" ht="14" x14ac:dyDescent="0.3">
      <c r="A38" s="150"/>
      <c r="B38" s="155"/>
      <c r="C38" s="156"/>
      <c r="D38" s="157"/>
      <c r="E38" s="157"/>
      <c r="F38" s="157"/>
      <c r="G38" s="157"/>
      <c r="H38" s="157"/>
      <c r="I38" s="107"/>
      <c r="J38" s="154"/>
    </row>
    <row r="41" spans="1:10" ht="14" x14ac:dyDescent="0.3">
      <c r="B41" s="129"/>
      <c r="C41" s="129" t="s">
        <v>51</v>
      </c>
      <c r="D41" s="130" t="s">
        <v>57</v>
      </c>
      <c r="F41" s="129"/>
      <c r="G41" s="129"/>
      <c r="H41" s="129" t="s">
        <v>53</v>
      </c>
      <c r="I41" s="130">
        <v>4120</v>
      </c>
    </row>
    <row r="42" spans="1:10" ht="13" thickBot="1" x14ac:dyDescent="0.3">
      <c r="A42" s="131"/>
      <c r="B42" s="131"/>
      <c r="C42" s="131"/>
      <c r="D42" s="131"/>
      <c r="E42" s="131"/>
      <c r="F42" s="131"/>
      <c r="G42" s="131"/>
      <c r="H42" s="131"/>
      <c r="I42" s="131"/>
      <c r="J42" s="131"/>
    </row>
    <row r="43" spans="1:10" ht="13" thickTop="1" x14ac:dyDescent="0.25">
      <c r="A43" s="132"/>
      <c r="B43" s="133"/>
      <c r="D43" s="134"/>
      <c r="E43" s="134" t="s">
        <v>4</v>
      </c>
      <c r="F43" s="134"/>
      <c r="G43" s="134"/>
      <c r="H43" s="135" t="s">
        <v>10</v>
      </c>
      <c r="I43" s="136"/>
      <c r="J43" s="137"/>
    </row>
    <row r="44" spans="1:10" ht="13" thickBot="1" x14ac:dyDescent="0.3">
      <c r="A44" s="138"/>
      <c r="B44" s="139" t="s">
        <v>6</v>
      </c>
      <c r="C44" s="140"/>
      <c r="D44" s="141" t="s">
        <v>7</v>
      </c>
      <c r="E44" s="141" t="s">
        <v>8</v>
      </c>
      <c r="F44" s="141" t="s">
        <v>5</v>
      </c>
      <c r="G44" s="141" t="s">
        <v>9</v>
      </c>
      <c r="H44" s="141" t="s">
        <v>5</v>
      </c>
      <c r="I44" s="141" t="s">
        <v>9</v>
      </c>
      <c r="J44" s="142"/>
    </row>
    <row r="45" spans="1:10" ht="14.5" thickTop="1" x14ac:dyDescent="0.3">
      <c r="A45" s="143"/>
      <c r="B45" s="144" t="s">
        <v>58</v>
      </c>
      <c r="C45" s="145">
        <v>1</v>
      </c>
      <c r="D45" s="103" t="s">
        <v>11</v>
      </c>
      <c r="E45" s="147" t="s">
        <v>54</v>
      </c>
      <c r="F45" s="103"/>
      <c r="G45" s="103"/>
      <c r="H45" s="103">
        <v>418.19</v>
      </c>
      <c r="I45" s="103"/>
      <c r="J45" s="148"/>
    </row>
    <row r="46" spans="1:10" ht="14" x14ac:dyDescent="0.3">
      <c r="A46" s="150"/>
      <c r="B46" s="151"/>
      <c r="C46" s="152"/>
      <c r="D46" s="107"/>
      <c r="E46" s="153"/>
      <c r="F46" s="107"/>
      <c r="G46" s="107"/>
      <c r="H46" s="107"/>
      <c r="I46" s="107"/>
      <c r="J46" s="154"/>
    </row>
    <row r="47" spans="1:10" ht="14" x14ac:dyDescent="0.3">
      <c r="A47" s="150"/>
      <c r="B47" s="155"/>
      <c r="C47" s="156"/>
      <c r="D47" s="157"/>
      <c r="E47" s="157"/>
      <c r="F47" s="157"/>
      <c r="G47" s="157"/>
      <c r="H47" s="157"/>
      <c r="I47" s="157"/>
      <c r="J47" s="154"/>
    </row>
  </sheetData>
  <pageMargins left="0.7" right="0.7" top="0.75" bottom="0.75" header="0.3" footer="0.3"/>
  <pageSetup scale="86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ReferenceId xmlns="d758baea-510e-4597-bb40-a09e4fc0f415" xsi:nil="true"/>
    <TaxCatchAll xmlns="d5bf7610-0a90-45dc-b926-1b234e6c6756" xsi:nil="true"/>
    <lcf76f155ced4ddcb4097134ff3c332f xmlns="d758baea-510e-4597-bb40-a09e4fc0f415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54BC88EE80B1C42A7F4DD2AC98F73EE" ma:contentTypeVersion="14" ma:contentTypeDescription="Create a new document." ma:contentTypeScope="" ma:versionID="15e1db72af548e4336f8134c0e6233ac">
  <xsd:schema xmlns:xsd="http://www.w3.org/2001/XMLSchema" xmlns:xs="http://www.w3.org/2001/XMLSchema" xmlns:p="http://schemas.microsoft.com/office/2006/metadata/properties" xmlns:ns2="d758baea-510e-4597-bb40-a09e4fc0f415" xmlns:ns3="d5bf7610-0a90-45dc-b926-1b234e6c6756" targetNamespace="http://schemas.microsoft.com/office/2006/metadata/properties" ma:root="true" ma:fieldsID="7879fa1e94113e452e02fe4bcea51936" ns2:_="" ns3:_="">
    <xsd:import namespace="d758baea-510e-4597-bb40-a09e4fc0f415"/>
    <xsd:import namespace="d5bf7610-0a90-45dc-b926-1b234e6c6756"/>
    <xsd:element name="properties">
      <xsd:complexType>
        <xsd:sequence>
          <xsd:element name="documentManagement">
            <xsd:complexType>
              <xsd:all>
                <xsd:element ref="ns2:ReferenceId" minOccurs="0"/>
                <xsd:element ref="ns2:MediaServiceMetadata" minOccurs="0"/>
                <xsd:element ref="ns2:MediaServiceFastMetadata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758baea-510e-4597-bb40-a09e4fc0f415" elementFormDefault="qualified">
    <xsd:import namespace="http://schemas.microsoft.com/office/2006/documentManagement/types"/>
    <xsd:import namespace="http://schemas.microsoft.com/office/infopath/2007/PartnerControls"/>
    <xsd:element name="ReferenceId" ma:index="8" nillable="true" ma:displayName="ReferenceId" ma:indexed="true" ma:internalName="ReferenceId">
      <xsd:simpleType>
        <xsd:restriction base="dms:Text"/>
      </xsd:simpleType>
    </xsd:element>
    <xsd:element name="MediaServiceMetadata" ma:index="9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0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a0c8ac36-f17a-43f7-bf64-8887e67858c5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SearchProperties" ma:index="21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5bf7610-0a90-45dc-b926-1b234e6c6756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2a2efad3-2896-4aea-8e7b-79600716adfd}" ma:internalName="TaxCatchAll" ma:showField="CatchAllData" ma:web="d5bf7610-0a90-45dc-b926-1b234e6c675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19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0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314B5E26-EBAD-4CE5-8B80-01D95A37071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1CBF3ED0-6C08-4488-B844-67057FBAC723}">
  <ds:schemaRefs>
    <ds:schemaRef ds:uri="http://schemas.microsoft.com/office/2006/metadata/properties"/>
    <ds:schemaRef ds:uri="http://schemas.microsoft.com/office/2006/documentManagement/types"/>
    <ds:schemaRef ds:uri="http://purl.org/dc/terms/"/>
    <ds:schemaRef ds:uri="http://purl.org/dc/elements/1.1/"/>
    <ds:schemaRef ds:uri="d758baea-510e-4597-bb40-a09e4fc0f415"/>
    <ds:schemaRef ds:uri="http://schemas.microsoft.com/office/infopath/2007/PartnerControls"/>
    <ds:schemaRef ds:uri="d5bf7610-0a90-45dc-b926-1b234e6c6756"/>
    <ds:schemaRef ds:uri="http://schemas.openxmlformats.org/package/2006/metadata/core-properties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F99DD115-A384-4C6A-BCE7-F4F9B238E60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758baea-510e-4597-bb40-a09e4fc0f415"/>
    <ds:schemaRef ds:uri="d5bf7610-0a90-45dc-b926-1b234e6c675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P10-1 - 10-2 AR Led</vt:lpstr>
      <vt:lpstr>P10-1 - 10-2 SJ&amp;CR Jrnl </vt:lpstr>
      <vt:lpstr>P10-1 - 10-2 GL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Kim Steffanina</dc:creator>
  <cp:lastModifiedBy>PATIL, DHRUV</cp:lastModifiedBy>
  <cp:lastPrinted>2014-02-13T19:46:39Z</cp:lastPrinted>
  <dcterms:created xsi:type="dcterms:W3CDTF">2008-02-28T02:55:22Z</dcterms:created>
  <dcterms:modified xsi:type="dcterms:W3CDTF">2024-02-14T23:13:26Z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0x010100F54BC88EE80B1C42A7F4DD2AC98F73EE</vt:lpwstr>
  </property>
  <property fmtid="{D5CDD505-2E9C-101B-9397-08002B2CF9AE}" pid="3" name="Order">
    <vt:r8>16900</vt:r8>
  </property>
  <property fmtid="{D5CDD505-2E9C-101B-9397-08002B2CF9AE}" pid="4" name="xd_Signature">
    <vt:bool>false</vt:bool>
  </property>
  <property fmtid="{D5CDD505-2E9C-101B-9397-08002B2CF9AE}" pid="5" name="xd_ProgID">
    <vt:lpwstr/>
  </property>
  <property fmtid="{D5CDD505-2E9C-101B-9397-08002B2CF9AE}" pid="6" name="_ExtendedDescription">
    <vt:lpwstr/>
  </property>
  <property fmtid="{D5CDD505-2E9C-101B-9397-08002B2CF9AE}" pid="7" name="TriggerFlowInfo">
    <vt:lpwstr/>
  </property>
  <property fmtid="{D5CDD505-2E9C-101B-9397-08002B2CF9AE}" pid="8" name="ComplianceAssetId">
    <vt:lpwstr/>
  </property>
  <property fmtid="{D5CDD505-2E9C-101B-9397-08002B2CF9AE}" pid="9" name="TemplateUrl">
    <vt:lpwstr/>
  </property>
</Properties>
</file>