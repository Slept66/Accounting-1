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2/"/>
    </mc:Choice>
  </mc:AlternateContent>
  <xr:revisionPtr revIDLastSave="970" documentId="8_{9FAE4608-5BE4-4D02-8D21-9CB4296C7FE1}" xr6:coauthVersionLast="47" xr6:coauthVersionMax="47" xr10:uidLastSave="{80FC1CD8-55F6-4037-9E7F-21E264CCA813}"/>
  <bookViews>
    <workbookView xWindow="-110" yWindow="-110" windowWidth="19420" windowHeight="10420" activeTab="2" xr2:uid="{00000000-000D-0000-FFFF-FFFF00000000}"/>
  </bookViews>
  <sheets>
    <sheet name="work 2-3" sheetId="6" r:id="rId1"/>
    <sheet name="work 2-3 Key" sheetId="4" state="hidden" r:id="rId2"/>
    <sheet name="own 2-3" sheetId="7" r:id="rId3"/>
    <sheet name="own 2-3 Key" sheetId="8" state="hidden" r:id="rId4"/>
  </sheets>
  <definedNames>
    <definedName name="answer1">'own 2-3'!$A$11:$B$13,'own 2-3'!$C$11,'own 2-3'!$D$11:$E$13,'own 2-3'!$F$11,'own 2-3'!$H$11:$I$13,'own 2-3'!$J$11,'own 2-3'!$K$11:$L$13,'own 2-3'!$M$11,'own 2-3'!$A$19:$B$21,'own 2-3'!$C$19,'own 2-3'!$D$19:$E$21,'own 2-3'!$F$19,'own 2-3'!$H$19:$I$21,'own 2-3'!$J$19,'own 2-3'!$K$19:$L$21,'own 2-3'!$M$19,'own 2-3'!$A$27:$B$29,'own 2-3'!$C$27,'own 2-3'!$D$27:$E$29,'own 2-3'!$F$27</definedName>
    <definedName name="answers">'work 2-3'!$A$11:$B$13,'work 2-3'!$C$11,'work 2-3'!$D$11:$E$13,'work 2-3'!$F$11,'work 2-3'!$H$11:$I$13,'work 2-3'!$J$11,'work 2-3'!$K$11:$L$13,'work 2-3'!$M$11,'work 2-3'!$A$19:$B$21,'work 2-3'!$C$19,'work 2-3'!$D$19:$E$21,'work 2-3'!$F$19,'work 2-3'!$H$19:$I$21,'work 2-3'!$J$19,'work 2-3'!$K$19:$L$21,'work 2-3'!$M$19,'work 2-3'!$A$27:$B$29,'work 2-3'!$C$27,'work 2-3'!$D$27:$E$29,'work 2-3'!$F$27</definedName>
    <definedName name="_xlnm.Print_Area" localSheetId="2">'own 2-3'!$A$1:$M$32</definedName>
    <definedName name="_xlnm.Print_Area" localSheetId="3">'own 2-3 Key'!$A$1:$M$32</definedName>
    <definedName name="_xlnm.Print_Area" localSheetId="0">'work 2-3'!$A$1:$M$32</definedName>
    <definedName name="_xlnm.Print_Area" localSheetId="1">'work 2-3 Key'!$A$1:$M$32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" i="7" l="1"/>
  <c r="A1" i="7"/>
  <c r="D16" i="7"/>
  <c r="H16" i="7"/>
  <c r="K16" i="7"/>
  <c r="A24" i="7"/>
  <c r="D24" i="7"/>
  <c r="H24" i="7"/>
  <c r="K24" i="7"/>
  <c r="A32" i="7"/>
  <c r="D32" i="7"/>
  <c r="A1" i="6"/>
  <c r="D32" i="6"/>
  <c r="A32" i="6"/>
  <c r="K24" i="6"/>
  <c r="H24" i="6"/>
  <c r="D24" i="6"/>
  <c r="A24" i="6"/>
  <c r="K16" i="6"/>
  <c r="H16" i="6"/>
  <c r="D16" i="6"/>
  <c r="A16" i="6"/>
</calcChain>
</file>

<file path=xl/sharedStrings.xml><?xml version="1.0" encoding="utf-8"?>
<sst xmlns="http://schemas.openxmlformats.org/spreadsheetml/2006/main" count="273" uniqueCount="54">
  <si>
    <t>NAME:</t>
  </si>
  <si>
    <t>Supplies</t>
  </si>
  <si>
    <t>KEY</t>
  </si>
  <si>
    <t>OK</t>
  </si>
  <si>
    <t>CHECK</t>
  </si>
  <si>
    <t>When finished, click here first, then click one of the buttons below.</t>
  </si>
  <si>
    <t>Sales</t>
  </si>
  <si>
    <t>Prepaid Insurance</t>
  </si>
  <si>
    <t>?</t>
  </si>
  <si>
    <t>debit</t>
  </si>
  <si>
    <t>credit</t>
  </si>
  <si>
    <t>normal</t>
  </si>
  <si>
    <t>increase</t>
  </si>
  <si>
    <t>decrease</t>
  </si>
  <si>
    <t>(A)</t>
  </si>
  <si>
    <t>(L)</t>
  </si>
  <si>
    <t>(OE)</t>
  </si>
  <si>
    <t>(E)</t>
  </si>
  <si>
    <t>(R)</t>
  </si>
  <si>
    <t>Cash</t>
  </si>
  <si>
    <t>Derrick Hoffman, Capital</t>
  </si>
  <si>
    <t>For each transaction:</t>
  </si>
  <si>
    <r>
      <t xml:space="preserve">3.  How is each classification changed? </t>
    </r>
    <r>
      <rPr>
        <sz val="12"/>
        <rFont val="Arial"/>
      </rPr>
      <t xml:space="preserve"> On the first line of each T account, choose which side will increase or decrease.</t>
    </r>
  </si>
  <si>
    <t>A/R - Jon Roe</t>
  </si>
  <si>
    <t>A/P - Nash Supply</t>
  </si>
  <si>
    <t>Derrick Hoffman, Drawing</t>
  </si>
  <si>
    <t>Miscellaneous Expense</t>
  </si>
  <si>
    <t>Utilities Expense</t>
  </si>
  <si>
    <r>
      <t>4.  How is each amount entered in the accounts?</t>
    </r>
    <r>
      <rPr>
        <sz val="12"/>
        <rFont val="Arial"/>
      </rPr>
      <t xml:space="preserve">  On the second line of each T account, enter the dollar amount on the correct side.</t>
    </r>
  </si>
  <si>
    <r>
      <t>1.  What accounts are affected?</t>
    </r>
    <r>
      <rPr>
        <sz val="12"/>
        <rFont val="Arial"/>
      </rPr>
      <t xml:space="preserve">  On the top line of each T account, use the drop-down arrow to choose the correct account affected.</t>
    </r>
  </si>
  <si>
    <r>
      <t>2.  How is each account classified?</t>
    </r>
    <r>
      <rPr>
        <sz val="12"/>
        <rFont val="Arial"/>
      </rPr>
      <t xml:space="preserve">  Choose the proper classification to the right of the account title.</t>
    </r>
  </si>
  <si>
    <t>Click on File, Print when you are ready to print your worksheet.</t>
  </si>
  <si>
    <t>work together 2-3</t>
  </si>
  <si>
    <t>page 44</t>
  </si>
  <si>
    <t>on your own 2-3</t>
  </si>
  <si>
    <t>A/R - Sam Erickson</t>
  </si>
  <si>
    <t>A/P - Bales Supplies</t>
  </si>
  <si>
    <t>Kathy Bergum, Capital</t>
  </si>
  <si>
    <t>Kathy Bergum, Drawing</t>
  </si>
  <si>
    <t>Advertising Expense</t>
  </si>
  <si>
    <t>Rent Expense</t>
  </si>
  <si>
    <t>Apr 10.  Received cash from sales, $600.00</t>
  </si>
  <si>
    <t>Apr 11.  Sold services on account to Sam Erickson, $850.00</t>
  </si>
  <si>
    <t>Apr 18.  Received cash on account from Sam Erickson, $425.00</t>
  </si>
  <si>
    <t>Apr 20.  Paid cash to owner for personal use, $300.00</t>
  </si>
  <si>
    <t>Apr 14.  Paid cash for rent, $250.00</t>
  </si>
  <si>
    <t>Sept 13.  Received cash from sales, $1,500.00</t>
  </si>
  <si>
    <t>Sept 16.  Paid cash for utilities, $450.00.</t>
  </si>
  <si>
    <t>Sept 18.  Received cash on account from Jon Roe, $250.00</t>
  </si>
  <si>
    <t>Sept 21.  Paid cash to owner for personal use, $700.00</t>
  </si>
  <si>
    <t>Sept 15.  Sold services on account to Jon Roe, $500.00.</t>
  </si>
  <si>
    <t xml:space="preserve">     Note:  the debit entry is listed first.</t>
  </si>
  <si>
    <t>NOT IN TEXTBOOK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</si>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</sst>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b/>
      <sz val="12"/>
      <name val="Arial"/>
    </font>
    <font>
      <sz val="11"/>
      <name val="Arial"/>
    </font>
    <font>
      <b/>
      <sz val="11"/>
      <name val="Arial"/>
    </font>
    <font>
      <b/>
      <sz val="12"/>
      <color indexed="10"/>
      <name val="Arial"/>
    </font>
    <font>
      <sz val="12"/>
      <color indexed="8"/>
      <name val="Arial"/>
    </font>
    <font>
      <sz val="10"/>
      <color indexed="8"/>
      <name val="Arial"/>
    </font>
    <font>
      <sz val="11"/>
      <color indexed="8"/>
      <name val="Arial"/>
    </font>
    <font>
      <sz val="11"/>
      <color indexed="9"/>
      <name val="Arial"/>
    </font>
    <font>
      <sz val="12"/>
      <color indexed="9"/>
      <name val="Arial"/>
    </font>
    <font>
      <sz val="10"/>
      <color indexed="9"/>
      <name val="Arial"/>
    </font>
    <font>
      <b/>
      <sz val="12"/>
      <name val="Arial"/>
      <family val="2"/>
    </font>
    <font>
      <sz val="10"/>
      <name val="Arial"/>
    </font>
    <font>
      <sz val="11"/>
      <color indexed="10"/>
      <name val="Arial"/>
    </font>
    <font>
      <sz val="10"/>
      <color indexed="10"/>
      <name val="Arial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3" fontId="15" fillId="0" borderId="0" applyFont="0" applyFill="0" applyBorder="0" applyAlignment="0" applyProtection="0"/>
  </cellStyleXfs>
  <cellXfs count="151">
    <xf numFmtId="0" fontId="0" fillId="0" borderId="0" xfId="0"/>
    <xf numFmtId="0" fontId="3" fillId="0" borderId="0" xfId="0" applyFont="1"/>
    <xf numFmtId="3" fontId="5" fillId="0" borderId="0" xfId="1" applyNumberFormat="1" applyFont="1" applyBorder="1" applyAlignment="1">
      <alignment horizontal="center"/>
    </xf>
    <xf numFmtId="0" fontId="4" fillId="0" borderId="0" xfId="0" applyFont="1"/>
    <xf numFmtId="0" fontId="3" fillId="0" borderId="0" xfId="0" applyFont="1" applyAlignment="1">
      <alignment horizontal="center" wrapText="1"/>
    </xf>
    <xf numFmtId="0" fontId="5" fillId="0" borderId="0" xfId="0" applyFont="1"/>
    <xf numFmtId="0" fontId="5" fillId="0" borderId="0" xfId="0" applyFont="1" applyAlignment="1">
      <alignment wrapText="1"/>
    </xf>
    <xf numFmtId="3" fontId="6" fillId="0" borderId="0" xfId="1" applyNumberFormat="1" applyFont="1" applyFill="1" applyBorder="1" applyAlignment="1">
      <alignment horizontal="center"/>
    </xf>
    <xf numFmtId="0" fontId="3" fillId="0" borderId="0" xfId="0" quotePrefix="1" applyFont="1"/>
    <xf numFmtId="0" fontId="7" fillId="0" borderId="0" xfId="0" applyFont="1" applyAlignment="1">
      <alignment horizontal="center"/>
    </xf>
    <xf numFmtId="3" fontId="5" fillId="0" borderId="0" xfId="1" applyNumberFormat="1" applyFont="1" applyBorder="1" applyAlignment="1">
      <alignment horizontal="left"/>
    </xf>
    <xf numFmtId="0" fontId="4" fillId="0" borderId="1" xfId="0" applyFont="1" applyBorder="1"/>
    <xf numFmtId="3" fontId="3" fillId="0" borderId="0" xfId="1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left"/>
    </xf>
    <xf numFmtId="49" fontId="9" fillId="0" borderId="0" xfId="0" applyNumberFormat="1" applyFont="1"/>
    <xf numFmtId="0" fontId="9" fillId="0" borderId="0" xfId="0" applyFont="1"/>
    <xf numFmtId="3" fontId="10" fillId="0" borderId="0" xfId="1" applyNumberFormat="1" applyFont="1" applyBorder="1" applyAlignment="1">
      <alignment horizontal="center"/>
    </xf>
    <xf numFmtId="3" fontId="10" fillId="0" borderId="0" xfId="1" applyNumberFormat="1" applyFont="1" applyBorder="1" applyAlignment="1">
      <alignment horizontal="left"/>
    </xf>
    <xf numFmtId="3" fontId="10" fillId="0" borderId="0" xfId="1" applyNumberFormat="1" applyFont="1" applyFill="1" applyBorder="1" applyAlignment="1">
      <alignment horizontal="left"/>
    </xf>
    <xf numFmtId="0" fontId="4" fillId="0" borderId="1" xfId="0" applyFont="1" applyBorder="1" applyProtection="1">
      <protection locked="0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3" fontId="3" fillId="0" borderId="0" xfId="1" applyNumberFormat="1" applyFont="1" applyBorder="1" applyAlignment="1">
      <alignment horizontal="left"/>
    </xf>
    <xf numFmtId="3" fontId="4" fillId="0" borderId="0" xfId="1" applyNumberFormat="1" applyFont="1" applyFill="1" applyBorder="1" applyAlignment="1">
      <alignment horizontal="left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7" fillId="0" borderId="5" xfId="0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3" fontId="3" fillId="0" borderId="5" xfId="1" applyNumberFormat="1" applyFont="1" applyBorder="1" applyAlignment="1">
      <alignment horizontal="left"/>
    </xf>
    <xf numFmtId="0" fontId="3" fillId="0" borderId="6" xfId="0" applyFont="1" applyBorder="1" applyAlignment="1">
      <alignment horizontal="left" wrapText="1"/>
    </xf>
    <xf numFmtId="3" fontId="3" fillId="0" borderId="7" xfId="1" applyNumberFormat="1" applyFont="1" applyBorder="1" applyAlignment="1">
      <alignment horizontal="left"/>
    </xf>
    <xf numFmtId="3" fontId="3" fillId="0" borderId="8" xfId="1" applyNumberFormat="1" applyFont="1" applyBorder="1" applyAlignment="1">
      <alignment horizontal="left"/>
    </xf>
    <xf numFmtId="3" fontId="3" fillId="0" borderId="5" xfId="1" applyNumberFormat="1" applyFont="1" applyBorder="1" applyAlignment="1">
      <alignment horizontal="center"/>
    </xf>
    <xf numFmtId="3" fontId="3" fillId="0" borderId="8" xfId="1" applyNumberFormat="1" applyFont="1" applyBorder="1" applyAlignment="1">
      <alignment horizontal="center"/>
    </xf>
    <xf numFmtId="0" fontId="0" fillId="0" borderId="6" xfId="0" applyBorder="1"/>
    <xf numFmtId="0" fontId="14" fillId="0" borderId="0" xfId="0" applyFont="1"/>
    <xf numFmtId="0" fontId="0" fillId="0" borderId="9" xfId="0" applyBorder="1"/>
    <xf numFmtId="0" fontId="3" fillId="0" borderId="5" xfId="0" quotePrefix="1" applyFont="1" applyBorder="1"/>
    <xf numFmtId="3" fontId="5" fillId="0" borderId="7" xfId="1" applyNumberFormat="1" applyFont="1" applyBorder="1" applyAlignment="1">
      <alignment horizontal="center"/>
    </xf>
    <xf numFmtId="3" fontId="5" fillId="0" borderId="8" xfId="1" applyNumberFormat="1" applyFont="1" applyBorder="1" applyAlignment="1">
      <alignment horizontal="center"/>
    </xf>
    <xf numFmtId="0" fontId="3" fillId="0" borderId="2" xfId="0" applyFont="1" applyBorder="1" applyAlignment="1">
      <alignment horizontal="left"/>
    </xf>
    <xf numFmtId="3" fontId="3" fillId="0" borderId="3" xfId="1" applyNumberFormat="1" applyFont="1" applyBorder="1" applyAlignment="1">
      <alignment horizontal="left"/>
    </xf>
    <xf numFmtId="3" fontId="3" fillId="0" borderId="4" xfId="1" applyNumberFormat="1" applyFont="1" applyBorder="1" applyAlignment="1">
      <alignment horizontal="left"/>
    </xf>
    <xf numFmtId="3" fontId="3" fillId="0" borderId="2" xfId="1" applyNumberFormat="1" applyFont="1" applyBorder="1" applyAlignment="1">
      <alignment horizontal="left"/>
    </xf>
    <xf numFmtId="3" fontId="4" fillId="0" borderId="3" xfId="1" applyNumberFormat="1" applyFont="1" applyFill="1" applyBorder="1" applyAlignment="1">
      <alignment horizontal="left"/>
    </xf>
    <xf numFmtId="3" fontId="3" fillId="0" borderId="4" xfId="1" applyNumberFormat="1" applyFont="1" applyBorder="1" applyAlignment="1">
      <alignment horizontal="center"/>
    </xf>
    <xf numFmtId="3" fontId="5" fillId="0" borderId="3" xfId="1" applyNumberFormat="1" applyFont="1" applyBorder="1" applyAlignment="1">
      <alignment horizontal="center"/>
    </xf>
    <xf numFmtId="3" fontId="5" fillId="0" borderId="4" xfId="1" applyNumberFormat="1" applyFont="1" applyBorder="1" applyAlignment="1">
      <alignment horizontal="center"/>
    </xf>
    <xf numFmtId="3" fontId="3" fillId="0" borderId="10" xfId="1" applyNumberFormat="1" applyFont="1" applyBorder="1" applyAlignment="1">
      <alignment horizontal="left"/>
    </xf>
    <xf numFmtId="3" fontId="3" fillId="0" borderId="9" xfId="1" applyNumberFormat="1" applyFont="1" applyBorder="1" applyAlignment="1">
      <alignment horizontal="left"/>
    </xf>
    <xf numFmtId="164" fontId="3" fillId="0" borderId="11" xfId="1" applyNumberFormat="1" applyFont="1" applyBorder="1" applyAlignment="1">
      <alignment horizontal="left"/>
    </xf>
    <xf numFmtId="0" fontId="3" fillId="0" borderId="12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right" wrapText="1"/>
    </xf>
    <xf numFmtId="0" fontId="3" fillId="0" borderId="11" xfId="0" applyFont="1" applyBorder="1" applyAlignment="1">
      <alignment horizontal="right" wrapText="1"/>
    </xf>
    <xf numFmtId="0" fontId="3" fillId="0" borderId="12" xfId="0" applyFont="1" applyBorder="1" applyAlignment="1">
      <alignment horizontal="right" wrapText="1"/>
    </xf>
    <xf numFmtId="0" fontId="3" fillId="0" borderId="11" xfId="0" applyFont="1" applyBorder="1" applyAlignment="1">
      <alignment wrapText="1"/>
    </xf>
    <xf numFmtId="0" fontId="3" fillId="0" borderId="11" xfId="0" applyFont="1" applyBorder="1"/>
    <xf numFmtId="0" fontId="3" fillId="0" borderId="12" xfId="0" applyFont="1" applyBorder="1" applyAlignment="1">
      <alignment wrapText="1"/>
    </xf>
    <xf numFmtId="0" fontId="3" fillId="0" borderId="12" xfId="0" applyFont="1" applyBorder="1"/>
    <xf numFmtId="0" fontId="3" fillId="0" borderId="6" xfId="0" applyFont="1" applyBorder="1" applyAlignment="1">
      <alignment horizontal="right" wrapText="1"/>
    </xf>
    <xf numFmtId="0" fontId="3" fillId="0" borderId="6" xfId="0" applyFont="1" applyBorder="1" applyAlignment="1">
      <alignment horizontal="right"/>
    </xf>
    <xf numFmtId="3" fontId="3" fillId="0" borderId="0" xfId="1" applyNumberFormat="1" applyFont="1" applyBorder="1" applyAlignment="1" applyProtection="1">
      <alignment horizontal="left"/>
    </xf>
    <xf numFmtId="3" fontId="3" fillId="0" borderId="5" xfId="1" applyNumberFormat="1" applyFont="1" applyBorder="1" applyAlignment="1" applyProtection="1">
      <alignment horizontal="left"/>
    </xf>
    <xf numFmtId="3" fontId="3" fillId="0" borderId="5" xfId="1" applyNumberFormat="1" applyFont="1" applyBorder="1" applyAlignment="1" applyProtection="1">
      <alignment horizontal="center"/>
    </xf>
    <xf numFmtId="3" fontId="5" fillId="0" borderId="0" xfId="1" applyNumberFormat="1" applyFont="1" applyBorder="1" applyAlignment="1" applyProtection="1">
      <alignment horizontal="center"/>
    </xf>
    <xf numFmtId="0" fontId="3" fillId="0" borderId="13" xfId="0" applyFont="1" applyBorder="1" applyAlignment="1">
      <alignment horizontal="left" wrapText="1"/>
    </xf>
    <xf numFmtId="3" fontId="3" fillId="0" borderId="7" xfId="1" applyNumberFormat="1" applyFont="1" applyBorder="1" applyAlignment="1" applyProtection="1">
      <alignment horizontal="left"/>
    </xf>
    <xf numFmtId="0" fontId="3" fillId="0" borderId="7" xfId="0" applyFont="1" applyBorder="1" applyAlignment="1">
      <alignment horizontal="left" wrapText="1"/>
    </xf>
    <xf numFmtId="3" fontId="3" fillId="0" borderId="8" xfId="1" applyNumberFormat="1" applyFont="1" applyBorder="1" applyAlignment="1" applyProtection="1">
      <alignment horizontal="left"/>
    </xf>
    <xf numFmtId="3" fontId="3" fillId="0" borderId="8" xfId="1" applyNumberFormat="1" applyFont="1" applyBorder="1" applyAlignment="1" applyProtection="1">
      <alignment horizontal="center"/>
    </xf>
    <xf numFmtId="3" fontId="4" fillId="0" borderId="0" xfId="1" applyNumberFormat="1" applyFont="1" applyFill="1" applyBorder="1" applyAlignment="1" applyProtection="1">
      <alignment horizontal="left"/>
    </xf>
    <xf numFmtId="3" fontId="3" fillId="0" borderId="0" xfId="1" applyNumberFormat="1" applyFont="1" applyBorder="1" applyAlignment="1" applyProtection="1">
      <alignment horizontal="center"/>
    </xf>
    <xf numFmtId="3" fontId="3" fillId="0" borderId="3" xfId="1" applyNumberFormat="1" applyFont="1" applyBorder="1" applyAlignment="1" applyProtection="1">
      <alignment horizontal="left"/>
    </xf>
    <xf numFmtId="3" fontId="3" fillId="0" borderId="4" xfId="1" applyNumberFormat="1" applyFont="1" applyBorder="1" applyAlignment="1" applyProtection="1">
      <alignment horizontal="left"/>
    </xf>
    <xf numFmtId="3" fontId="3" fillId="0" borderId="2" xfId="1" applyNumberFormat="1" applyFont="1" applyBorder="1" applyAlignment="1" applyProtection="1">
      <alignment horizontal="left"/>
    </xf>
    <xf numFmtId="3" fontId="4" fillId="0" borderId="3" xfId="1" applyNumberFormat="1" applyFont="1" applyFill="1" applyBorder="1" applyAlignment="1" applyProtection="1">
      <alignment horizontal="left"/>
    </xf>
    <xf numFmtId="3" fontId="3" fillId="0" borderId="4" xfId="1" applyNumberFormat="1" applyFont="1" applyBorder="1" applyAlignment="1" applyProtection="1">
      <alignment horizontal="center"/>
    </xf>
    <xf numFmtId="3" fontId="5" fillId="0" borderId="7" xfId="1" applyNumberFormat="1" applyFont="1" applyBorder="1" applyAlignment="1" applyProtection="1">
      <alignment horizontal="center"/>
    </xf>
    <xf numFmtId="3" fontId="5" fillId="0" borderId="8" xfId="1" applyNumberFormat="1" applyFont="1" applyBorder="1" applyAlignment="1" applyProtection="1">
      <alignment horizontal="center"/>
    </xf>
    <xf numFmtId="3" fontId="6" fillId="0" borderId="0" xfId="1" applyNumberFormat="1" applyFont="1" applyFill="1" applyBorder="1" applyAlignment="1" applyProtection="1">
      <alignment horizontal="center"/>
    </xf>
    <xf numFmtId="3" fontId="5" fillId="0" borderId="3" xfId="1" applyNumberFormat="1" applyFont="1" applyBorder="1" applyAlignment="1" applyProtection="1">
      <alignment horizontal="center"/>
    </xf>
    <xf numFmtId="3" fontId="5" fillId="0" borderId="4" xfId="1" applyNumberFormat="1" applyFont="1" applyBorder="1" applyAlignment="1" applyProtection="1">
      <alignment horizontal="center"/>
    </xf>
    <xf numFmtId="0" fontId="0" fillId="0" borderId="14" xfId="0" applyBorder="1"/>
    <xf numFmtId="3" fontId="5" fillId="0" borderId="15" xfId="1" applyNumberFormat="1" applyFont="1" applyBorder="1" applyAlignment="1" applyProtection="1">
      <alignment horizontal="center"/>
    </xf>
    <xf numFmtId="0" fontId="0" fillId="0" borderId="15" xfId="0" applyBorder="1"/>
    <xf numFmtId="3" fontId="5" fillId="0" borderId="16" xfId="1" applyNumberFormat="1" applyFont="1" applyBorder="1" applyAlignment="1" applyProtection="1">
      <alignment horizontal="center"/>
    </xf>
    <xf numFmtId="3" fontId="11" fillId="0" borderId="0" xfId="1" applyNumberFormat="1" applyFont="1" applyBorder="1" applyAlignment="1" applyProtection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  <xf numFmtId="49" fontId="13" fillId="0" borderId="0" xfId="0" applyNumberFormat="1" applyFont="1"/>
    <xf numFmtId="0" fontId="13" fillId="0" borderId="0" xfId="0" applyFont="1"/>
    <xf numFmtId="3" fontId="11" fillId="0" borderId="0" xfId="1" applyNumberFormat="1" applyFont="1" applyBorder="1" applyAlignment="1" applyProtection="1">
      <alignment horizontal="center"/>
    </xf>
    <xf numFmtId="3" fontId="11" fillId="0" borderId="0" xfId="1" applyNumberFormat="1" applyFont="1" applyFill="1" applyBorder="1" applyAlignment="1" applyProtection="1">
      <alignment horizontal="left"/>
    </xf>
    <xf numFmtId="0" fontId="3" fillId="0" borderId="11" xfId="0" applyFont="1" applyBorder="1" applyAlignment="1" applyProtection="1">
      <alignment horizontal="right" wrapText="1"/>
      <protection locked="0"/>
    </xf>
    <xf numFmtId="3" fontId="3" fillId="0" borderId="0" xfId="1" applyNumberFormat="1" applyFont="1" applyBorder="1" applyAlignment="1" applyProtection="1">
      <alignment horizontal="left"/>
      <protection locked="0"/>
    </xf>
    <xf numFmtId="164" fontId="3" fillId="0" borderId="11" xfId="1" applyNumberFormat="1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center"/>
      <protection locked="0"/>
    </xf>
    <xf numFmtId="0" fontId="3" fillId="0" borderId="12" xfId="0" applyFont="1" applyBorder="1" applyAlignment="1" applyProtection="1">
      <alignment wrapText="1"/>
      <protection locked="0"/>
    </xf>
    <xf numFmtId="0" fontId="3" fillId="0" borderId="12" xfId="0" applyFont="1" applyBorder="1" applyProtection="1"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3" fillId="0" borderId="11" xfId="0" applyFont="1" applyBorder="1" applyAlignment="1" applyProtection="1">
      <alignment wrapText="1"/>
      <protection locked="0"/>
    </xf>
    <xf numFmtId="0" fontId="3" fillId="0" borderId="11" xfId="0" applyFont="1" applyBorder="1" applyProtection="1">
      <protection locked="0"/>
    </xf>
    <xf numFmtId="0" fontId="3" fillId="0" borderId="12" xfId="0" applyFont="1" applyBorder="1" applyAlignment="1" applyProtection="1">
      <alignment horizontal="right" wrapText="1"/>
      <protection locked="0"/>
    </xf>
    <xf numFmtId="0" fontId="3" fillId="0" borderId="12" xfId="0" applyFont="1" applyBorder="1" applyAlignment="1" applyProtection="1">
      <alignment horizontal="right"/>
      <protection locked="0"/>
    </xf>
    <xf numFmtId="0" fontId="3" fillId="0" borderId="6" xfId="0" applyFont="1" applyBorder="1" applyAlignment="1" applyProtection="1">
      <alignment horizontal="right" wrapText="1"/>
      <protection locked="0"/>
    </xf>
    <xf numFmtId="3" fontId="3" fillId="0" borderId="10" xfId="1" applyNumberFormat="1" applyFont="1" applyBorder="1" applyAlignment="1" applyProtection="1">
      <alignment horizontal="left"/>
      <protection locked="0"/>
    </xf>
    <xf numFmtId="0" fontId="3" fillId="0" borderId="6" xfId="0" applyFont="1" applyBorder="1" applyAlignment="1" applyProtection="1">
      <alignment horizontal="right"/>
      <protection locked="0"/>
    </xf>
    <xf numFmtId="3" fontId="3" fillId="0" borderId="9" xfId="1" applyNumberFormat="1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right" wrapText="1"/>
      <protection locked="0"/>
    </xf>
    <xf numFmtId="0" fontId="3" fillId="0" borderId="0" xfId="0" applyFont="1" applyAlignment="1" applyProtection="1">
      <alignment horizontal="right"/>
      <protection locked="0"/>
    </xf>
    <xf numFmtId="0" fontId="15" fillId="0" borderId="0" xfId="0" applyFont="1"/>
    <xf numFmtId="0" fontId="16" fillId="0" borderId="0" xfId="0" applyFont="1"/>
    <xf numFmtId="3" fontId="16" fillId="0" borderId="0" xfId="1" applyNumberFormat="1" applyFont="1" applyBorder="1" applyAlignment="1" applyProtection="1">
      <alignment horizontal="center"/>
    </xf>
    <xf numFmtId="0" fontId="16" fillId="0" borderId="0" xfId="0" applyFont="1" applyAlignment="1">
      <alignment wrapText="1"/>
    </xf>
    <xf numFmtId="0" fontId="17" fillId="0" borderId="0" xfId="0" applyFont="1"/>
    <xf numFmtId="0" fontId="4" fillId="0" borderId="17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5" fillId="0" borderId="13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3" fontId="5" fillId="0" borderId="7" xfId="1" applyNumberFormat="1" applyFont="1" applyBorder="1" applyAlignment="1">
      <alignment horizontal="center"/>
    </xf>
    <xf numFmtId="3" fontId="5" fillId="0" borderId="13" xfId="1" applyNumberFormat="1" applyFont="1" applyBorder="1" applyAlignment="1">
      <alignment horizontal="center"/>
    </xf>
    <xf numFmtId="3" fontId="6" fillId="0" borderId="7" xfId="1" applyNumberFormat="1" applyFont="1" applyFill="1" applyBorder="1" applyAlignment="1">
      <alignment horizontal="center"/>
    </xf>
    <xf numFmtId="3" fontId="4" fillId="0" borderId="7" xfId="1" applyNumberFormat="1" applyFont="1" applyFill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3" fontId="3" fillId="0" borderId="7" xfId="1" applyNumberFormat="1" applyFont="1" applyBorder="1" applyAlignment="1">
      <alignment horizontal="left"/>
    </xf>
    <xf numFmtId="3" fontId="3" fillId="0" borderId="13" xfId="1" applyNumberFormat="1" applyFont="1" applyBorder="1" applyAlignment="1">
      <alignment horizontal="left"/>
    </xf>
    <xf numFmtId="0" fontId="4" fillId="0" borderId="17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3" fillId="0" borderId="11" xfId="0" applyFont="1" applyBorder="1" applyAlignment="1" applyProtection="1">
      <alignment horizontal="right" wrapText="1"/>
    </xf>
    <xf numFmtId="164" fontId="3" fillId="0" borderId="11" xfId="1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center"/>
    </xf>
    <xf numFmtId="0" fontId="3" fillId="0" borderId="12" xfId="0" applyFont="1" applyBorder="1" applyAlignment="1" applyProtection="1">
      <alignment wrapText="1"/>
    </xf>
    <xf numFmtId="0" fontId="3" fillId="0" borderId="12" xfId="0" applyFont="1" applyBorder="1" applyProtection="1"/>
    <xf numFmtId="0" fontId="7" fillId="0" borderId="5" xfId="0" applyFont="1" applyBorder="1" applyAlignment="1" applyProtection="1">
      <alignment horizontal="center"/>
    </xf>
    <xf numFmtId="0" fontId="3" fillId="0" borderId="11" xfId="0" applyFont="1" applyBorder="1" applyProtection="1"/>
    <xf numFmtId="0" fontId="3" fillId="0" borderId="12" xfId="0" applyFont="1" applyBorder="1" applyAlignment="1" applyProtection="1">
      <alignment horizontal="right" wrapText="1"/>
    </xf>
    <xf numFmtId="0" fontId="3" fillId="0" borderId="12" xfId="0" applyFont="1" applyBorder="1" applyAlignment="1" applyProtection="1">
      <alignment horizontal="right"/>
    </xf>
    <xf numFmtId="0" fontId="3" fillId="0" borderId="6" xfId="0" applyFont="1" applyBorder="1" applyAlignment="1" applyProtection="1">
      <alignment horizontal="right" wrapText="1"/>
    </xf>
    <xf numFmtId="3" fontId="3" fillId="0" borderId="10" xfId="1" applyNumberFormat="1" applyFont="1" applyBorder="1" applyAlignment="1" applyProtection="1">
      <alignment horizontal="left"/>
    </xf>
    <xf numFmtId="0" fontId="3" fillId="0" borderId="6" xfId="0" applyFont="1" applyBorder="1" applyAlignment="1" applyProtection="1">
      <alignment horizontal="right"/>
    </xf>
    <xf numFmtId="3" fontId="3" fillId="0" borderId="9" xfId="1" applyNumberFormat="1" applyFont="1" applyBorder="1" applyAlignment="1" applyProtection="1">
      <alignment horizontal="left"/>
    </xf>
    <xf numFmtId="0" fontId="3" fillId="0" borderId="0" xfId="0" applyFont="1" applyAlignment="1" applyProtection="1">
      <alignment horizontal="right" wrapText="1"/>
    </xf>
    <xf numFmtId="0" fontId="3" fillId="0" borderId="0" xfId="0" applyFont="1" applyAlignment="1" applyProtection="1">
      <alignment horizontal="right"/>
    </xf>
  </cellXfs>
  <cellStyles count="3">
    <cellStyle name="Comma" xfId="1" builtinId="3"/>
    <cellStyle name="Comma 2" xfId="2" xr:uid="{00000000-0005-0000-0000-000001000000}"/>
    <cellStyle name="Normal" xfId="0" builtinId="0"/>
  </cellStyles>
  <dxfs count="16"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35</xdr:row>
      <xdr:rowOff>76200</xdr:rowOff>
    </xdr:from>
    <xdr:to>
      <xdr:col>2</xdr:col>
      <xdr:colOff>104775</xdr:colOff>
      <xdr:row>37</xdr:row>
      <xdr:rowOff>161925</xdr:rowOff>
    </xdr:to>
    <xdr:sp macro="[0]!check" textlink="">
      <xdr:nvSpPr>
        <xdr:cNvPr id="5123" name="AutoShape 3">
          <a:extLst>
            <a:ext uri="{FF2B5EF4-FFF2-40B4-BE49-F238E27FC236}">
              <a16:creationId xmlns:a16="http://schemas.microsoft.com/office/drawing/2014/main" id="{00000000-0008-0000-0000-000003140000}"/>
            </a:ext>
          </a:extLst>
        </xdr:cNvPr>
        <xdr:cNvSpPr>
          <a:spLocks noChangeArrowheads="1"/>
        </xdr:cNvSpPr>
      </xdr:nvSpPr>
      <xdr:spPr bwMode="auto">
        <a:xfrm>
          <a:off x="152400" y="6400800"/>
          <a:ext cx="1752600" cy="4667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check answers</a:t>
          </a:r>
        </a:p>
      </xdr:txBody>
    </xdr:sp>
    <xdr:clientData/>
  </xdr:twoCellAnchor>
  <xdr:twoCellAnchor>
    <xdr:from>
      <xdr:col>3</xdr:col>
      <xdr:colOff>495300</xdr:colOff>
      <xdr:row>35</xdr:row>
      <xdr:rowOff>76200</xdr:rowOff>
    </xdr:from>
    <xdr:to>
      <xdr:col>5</xdr:col>
      <xdr:colOff>171450</xdr:colOff>
      <xdr:row>37</xdr:row>
      <xdr:rowOff>161925</xdr:rowOff>
    </xdr:to>
    <xdr:sp macro="[0]!change" textlink="">
      <xdr:nvSpPr>
        <xdr:cNvPr id="5124" name="AutoShape 4">
          <a:extLst>
            <a:ext uri="{FF2B5EF4-FFF2-40B4-BE49-F238E27FC236}">
              <a16:creationId xmlns:a16="http://schemas.microsoft.com/office/drawing/2014/main" id="{00000000-0008-0000-0000-000004140000}"/>
            </a:ext>
          </a:extLst>
        </xdr:cNvPr>
        <xdr:cNvSpPr>
          <a:spLocks noChangeArrowheads="1"/>
        </xdr:cNvSpPr>
      </xdr:nvSpPr>
      <xdr:spPr bwMode="auto">
        <a:xfrm>
          <a:off x="2714625" y="6400800"/>
          <a:ext cx="1590675" cy="4667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change answers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35</xdr:row>
      <xdr:rowOff>76200</xdr:rowOff>
    </xdr:from>
    <xdr:to>
      <xdr:col>2</xdr:col>
      <xdr:colOff>104775</xdr:colOff>
      <xdr:row>37</xdr:row>
      <xdr:rowOff>161925</xdr:rowOff>
    </xdr:to>
    <xdr:sp macro="[0]!check1" textlink="">
      <xdr:nvSpPr>
        <xdr:cNvPr id="6145" name="AutoShape 1">
          <a:extLst>
            <a:ext uri="{FF2B5EF4-FFF2-40B4-BE49-F238E27FC236}">
              <a16:creationId xmlns:a16="http://schemas.microsoft.com/office/drawing/2014/main" id="{00000000-0008-0000-0200-000001180000}"/>
            </a:ext>
          </a:extLst>
        </xdr:cNvPr>
        <xdr:cNvSpPr>
          <a:spLocks noChangeArrowheads="1"/>
        </xdr:cNvSpPr>
      </xdr:nvSpPr>
      <xdr:spPr bwMode="auto">
        <a:xfrm>
          <a:off x="152400" y="6400800"/>
          <a:ext cx="1819275" cy="4667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check answers</a:t>
          </a:r>
        </a:p>
      </xdr:txBody>
    </xdr:sp>
    <xdr:clientData/>
  </xdr:twoCellAnchor>
  <xdr:twoCellAnchor>
    <xdr:from>
      <xdr:col>3</xdr:col>
      <xdr:colOff>495300</xdr:colOff>
      <xdr:row>35</xdr:row>
      <xdr:rowOff>76200</xdr:rowOff>
    </xdr:from>
    <xdr:to>
      <xdr:col>5</xdr:col>
      <xdr:colOff>171450</xdr:colOff>
      <xdr:row>37</xdr:row>
      <xdr:rowOff>161925</xdr:rowOff>
    </xdr:to>
    <xdr:sp macro="[0]!change1" textlink="">
      <xdr:nvSpPr>
        <xdr:cNvPr id="6146" name="AutoShape 2">
          <a:extLst>
            <a:ext uri="{FF2B5EF4-FFF2-40B4-BE49-F238E27FC236}">
              <a16:creationId xmlns:a16="http://schemas.microsoft.com/office/drawing/2014/main" id="{00000000-0008-0000-0200-000002180000}"/>
            </a:ext>
          </a:extLst>
        </xdr:cNvPr>
        <xdr:cNvSpPr>
          <a:spLocks noChangeArrowheads="1"/>
        </xdr:cNvSpPr>
      </xdr:nvSpPr>
      <xdr:spPr bwMode="auto">
        <a:xfrm>
          <a:off x="2781300" y="6400800"/>
          <a:ext cx="1438275" cy="4667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change answers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58"/>
  <sheetViews>
    <sheetView topLeftCell="A18" zoomScale="80" zoomScaleNormal="80" workbookViewId="0">
      <selection activeCell="E1" sqref="E1"/>
    </sheetView>
  </sheetViews>
  <sheetFormatPr defaultColWidth="9.1796875" defaultRowHeight="12.5" x14ac:dyDescent="0.25"/>
  <cols>
    <col min="1" max="1" width="11.7265625" customWidth="1"/>
    <col min="2" max="2" width="15.26953125" customWidth="1"/>
    <col min="3" max="3" width="6.26953125" customWidth="1"/>
    <col min="4" max="4" width="11.7265625" customWidth="1"/>
    <col min="5" max="5" width="17" customWidth="1"/>
    <col min="6" max="6" width="6.26953125" customWidth="1"/>
    <col min="7" max="7" width="5.7265625" customWidth="1"/>
    <col min="8" max="8" width="11.7265625" customWidth="1"/>
    <col min="9" max="9" width="14.7265625" customWidth="1"/>
    <col min="10" max="10" width="5.7265625" customWidth="1"/>
    <col min="11" max="11" width="11.7265625" customWidth="1"/>
    <col min="12" max="12" width="14.81640625" customWidth="1"/>
    <col min="13" max="13" width="5.7265625" customWidth="1"/>
    <col min="14" max="17" width="17.7265625" customWidth="1"/>
    <col min="18" max="18" width="17.453125" customWidth="1"/>
  </cols>
  <sheetData>
    <row r="1" spans="1:18" ht="15.5" x14ac:dyDescent="0.35">
      <c r="A1" s="1" t="str">
        <f>'work 2-3 Key'!A1</f>
        <v>work together 2-3</v>
      </c>
      <c r="B1" s="1"/>
      <c r="C1" s="1"/>
      <c r="D1" s="1" t="s">
        <v>0</v>
      </c>
      <c r="E1" s="20" t="s">
        <v>53</v>
      </c>
      <c r="F1" s="1"/>
      <c r="G1" s="1"/>
      <c r="H1" s="1"/>
      <c r="I1" s="1"/>
      <c r="J1" s="1"/>
      <c r="K1" s="1"/>
      <c r="L1" s="1"/>
      <c r="M1" s="1"/>
      <c r="N1" s="13"/>
      <c r="O1" s="1"/>
      <c r="P1" s="1"/>
      <c r="Q1" s="1"/>
      <c r="R1" s="1"/>
    </row>
    <row r="2" spans="1:18" ht="15.5" x14ac:dyDescent="0.35">
      <c r="A2" s="1" t="s">
        <v>52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3"/>
      <c r="O2" s="1"/>
      <c r="P2" s="1"/>
      <c r="Q2" s="1"/>
      <c r="R2" s="1"/>
    </row>
    <row r="3" spans="1:18" ht="15.5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3"/>
      <c r="O3" s="1"/>
      <c r="P3" s="1"/>
      <c r="Q3" s="1"/>
      <c r="R3" s="1"/>
    </row>
    <row r="4" spans="1:18" ht="15.5" x14ac:dyDescent="0.35">
      <c r="A4" s="1" t="s">
        <v>21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3"/>
      <c r="O4" s="1"/>
      <c r="P4" s="1"/>
      <c r="Q4" s="1"/>
      <c r="R4" s="1"/>
    </row>
    <row r="5" spans="1:18" ht="15.5" x14ac:dyDescent="0.35">
      <c r="A5" s="37" t="s">
        <v>29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3"/>
      <c r="O5" s="1"/>
      <c r="P5" s="1"/>
      <c r="Q5" s="1"/>
      <c r="R5" s="1"/>
    </row>
    <row r="6" spans="1:18" ht="15.5" x14ac:dyDescent="0.35">
      <c r="A6" s="37" t="s">
        <v>30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3"/>
      <c r="O6" s="1"/>
      <c r="P6" s="1"/>
      <c r="Q6" s="1"/>
      <c r="R6" s="1"/>
    </row>
    <row r="7" spans="1:18" ht="15.5" x14ac:dyDescent="0.35">
      <c r="A7" s="37" t="s">
        <v>22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3"/>
      <c r="O7" s="1"/>
      <c r="P7" s="1"/>
      <c r="Q7" s="1"/>
      <c r="R7" s="1"/>
    </row>
    <row r="8" spans="1:18" ht="15.5" x14ac:dyDescent="0.35">
      <c r="A8" s="37" t="s">
        <v>28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3"/>
      <c r="O8" s="1"/>
      <c r="P8" s="1"/>
      <c r="Q8" s="1"/>
      <c r="R8" s="1"/>
    </row>
    <row r="9" spans="1:18" ht="16" thickBot="1" x14ac:dyDescent="0.4">
      <c r="A9" s="37" t="s">
        <v>51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3"/>
      <c r="O9" s="1"/>
      <c r="P9" s="1"/>
      <c r="Q9" s="1"/>
      <c r="R9" s="1"/>
    </row>
    <row r="10" spans="1:18" ht="15.5" x14ac:dyDescent="0.35">
      <c r="A10" s="25" t="s">
        <v>41</v>
      </c>
      <c r="B10" s="26"/>
      <c r="C10" s="26"/>
      <c r="D10" s="26"/>
      <c r="E10" s="26"/>
      <c r="F10" s="27"/>
      <c r="G10" s="1"/>
      <c r="H10" s="25" t="s">
        <v>42</v>
      </c>
      <c r="I10" s="26"/>
      <c r="J10" s="26"/>
      <c r="K10" s="26"/>
      <c r="L10" s="26"/>
      <c r="M10" s="27"/>
      <c r="N10" s="13"/>
      <c r="O10" s="1"/>
      <c r="P10" s="1"/>
      <c r="Q10" s="1"/>
      <c r="R10" s="1"/>
    </row>
    <row r="11" spans="1:18" ht="15.5" x14ac:dyDescent="0.35">
      <c r="A11" s="118" t="s">
        <v>19</v>
      </c>
      <c r="B11" s="119"/>
      <c r="C11" s="99" t="s">
        <v>14</v>
      </c>
      <c r="D11" s="119" t="s">
        <v>6</v>
      </c>
      <c r="E11" s="119"/>
      <c r="F11" s="102" t="s">
        <v>18</v>
      </c>
      <c r="G11" s="9"/>
      <c r="H11" s="118" t="s">
        <v>35</v>
      </c>
      <c r="I11" s="119"/>
      <c r="J11" s="99" t="s">
        <v>14</v>
      </c>
      <c r="K11" s="119" t="s">
        <v>6</v>
      </c>
      <c r="L11" s="119"/>
      <c r="M11" s="102" t="s">
        <v>18</v>
      </c>
      <c r="O11" s="3"/>
      <c r="P11" s="8"/>
      <c r="Q11" s="8"/>
      <c r="R11" s="3"/>
    </row>
    <row r="12" spans="1:18" ht="15.5" x14ac:dyDescent="0.35">
      <c r="A12" s="96" t="s">
        <v>12</v>
      </c>
      <c r="B12" s="97"/>
      <c r="C12" s="21"/>
      <c r="D12" s="100"/>
      <c r="E12" s="97" t="s">
        <v>12</v>
      </c>
      <c r="F12" s="29"/>
      <c r="G12" s="21"/>
      <c r="H12" s="103" t="s">
        <v>12</v>
      </c>
      <c r="I12" s="97"/>
      <c r="J12" s="22"/>
      <c r="K12" s="105"/>
      <c r="L12" s="97" t="s">
        <v>12</v>
      </c>
      <c r="M12" s="39"/>
      <c r="O12" s="4"/>
      <c r="P12" s="8"/>
      <c r="Q12" s="8"/>
      <c r="R12" s="4"/>
    </row>
    <row r="13" spans="1:18" ht="15.5" x14ac:dyDescent="0.35">
      <c r="A13" s="98">
        <v>600</v>
      </c>
      <c r="B13" s="97"/>
      <c r="C13" s="64"/>
      <c r="D13" s="101"/>
      <c r="E13" s="97">
        <v>600</v>
      </c>
      <c r="F13" s="65"/>
      <c r="G13" s="64"/>
      <c r="H13" s="104">
        <v>850</v>
      </c>
      <c r="I13" s="97"/>
      <c r="J13" s="64"/>
      <c r="K13" s="106"/>
      <c r="L13" s="97">
        <v>850</v>
      </c>
      <c r="M13" s="66"/>
      <c r="O13" s="67"/>
      <c r="P13" s="67"/>
      <c r="Q13" s="67"/>
      <c r="R13" s="67"/>
    </row>
    <row r="14" spans="1:18" ht="15.5" x14ac:dyDescent="0.35">
      <c r="A14" s="36"/>
      <c r="B14" s="38"/>
      <c r="C14" s="64"/>
      <c r="E14" s="38"/>
      <c r="F14" s="65"/>
      <c r="G14" s="64"/>
      <c r="H14" s="36"/>
      <c r="I14" s="38"/>
      <c r="J14" s="64"/>
      <c r="L14" s="38"/>
      <c r="M14" s="66"/>
      <c r="O14" s="67"/>
      <c r="P14" s="67"/>
      <c r="Q14" s="67"/>
      <c r="R14" s="67"/>
    </row>
    <row r="15" spans="1:18" ht="16" thickBot="1" x14ac:dyDescent="0.4">
      <c r="A15" s="68"/>
      <c r="B15" s="69"/>
      <c r="C15" s="69"/>
      <c r="D15" s="70"/>
      <c r="E15" s="69"/>
      <c r="F15" s="71"/>
      <c r="G15" s="64"/>
      <c r="H15" s="68"/>
      <c r="I15" s="69"/>
      <c r="J15" s="69"/>
      <c r="K15" s="70"/>
      <c r="L15" s="69"/>
      <c r="M15" s="71"/>
      <c r="O15" s="67"/>
      <c r="P15" s="67"/>
      <c r="Q15" s="67"/>
      <c r="R15" s="67"/>
    </row>
    <row r="16" spans="1:18" ht="16" hidden="1" thickBot="1" x14ac:dyDescent="0.4">
      <c r="A16" s="120" t="str">
        <f>IF(AND(A11='work 2-3 Key'!A11:B11,'work 2-3'!C11='work 2-3 Key'!C11,'work 2-3'!A12='work 2-3 Key'!A12,'work 2-3'!B12='work 2-3 Key'!B12,'work 2-3'!A13='work 2-3 Key'!A13,'work 2-3'!B13='work 2-3 Key'!B13),'work 2-3 Key'!$D$49,'work 2-3 Key'!$D$50)</f>
        <v>OK</v>
      </c>
      <c r="B16" s="121"/>
      <c r="C16" s="69"/>
      <c r="D16" s="121" t="str">
        <f>IF(AND(D11='work 2-3 Key'!D11:E11,'work 2-3'!F11='work 2-3 Key'!F11,'work 2-3'!D12='work 2-3 Key'!D12,'work 2-3'!E12='work 2-3 Key'!E12,'work 2-3'!D13='work 2-3 Key'!D13,'work 2-3'!E13='work 2-3 Key'!E13),'work 2-3 Key'!$D$49,'work 2-3 Key'!$D$50)</f>
        <v>OK</v>
      </c>
      <c r="E16" s="121"/>
      <c r="F16" s="71"/>
      <c r="G16" s="64"/>
      <c r="H16" s="120" t="str">
        <f>IF(AND(H11='work 2-3 Key'!H11:I11,'work 2-3'!J11='work 2-3 Key'!J11,'work 2-3'!H12='work 2-3 Key'!H12,'work 2-3'!I12='work 2-3 Key'!I12,'work 2-3'!H13='work 2-3 Key'!H13,'work 2-3'!I13='work 2-3 Key'!I13),'work 2-3 Key'!$D$49,'work 2-3 Key'!$D$50)</f>
        <v>OK</v>
      </c>
      <c r="I16" s="121"/>
      <c r="J16" s="69"/>
      <c r="K16" s="121" t="str">
        <f>IF(AND(K11='work 2-3 Key'!K11:L11,'work 2-3'!M11='work 2-3 Key'!M11,'work 2-3'!K12='work 2-3 Key'!K12,'work 2-3'!L12='work 2-3 Key'!L12,'work 2-3'!K13='work 2-3 Key'!K13,'work 2-3'!L13='work 2-3 Key'!L13),'work 2-3 Key'!$D$49,'work 2-3 Key'!$D$50)</f>
        <v>OK</v>
      </c>
      <c r="L16" s="121"/>
      <c r="M16" s="72"/>
      <c r="O16" s="67"/>
      <c r="P16" s="67"/>
      <c r="Q16" s="67"/>
      <c r="R16" s="67"/>
    </row>
    <row r="17" spans="1:18" ht="16" thickBot="1" x14ac:dyDescent="0.4">
      <c r="A17" s="21"/>
      <c r="B17" s="64"/>
      <c r="C17" s="64"/>
      <c r="D17" s="64"/>
      <c r="E17" s="64"/>
      <c r="F17" s="64"/>
      <c r="G17" s="64"/>
      <c r="H17" s="64"/>
      <c r="I17" s="64"/>
      <c r="J17" s="64"/>
      <c r="K17" s="73"/>
      <c r="L17" s="64"/>
      <c r="M17" s="74"/>
      <c r="O17" s="67"/>
      <c r="P17" s="67"/>
      <c r="Q17" s="67"/>
      <c r="R17" s="67"/>
    </row>
    <row r="18" spans="1:18" ht="15.5" x14ac:dyDescent="0.35">
      <c r="A18" s="42" t="s">
        <v>45</v>
      </c>
      <c r="B18" s="75"/>
      <c r="C18" s="75"/>
      <c r="D18" s="75"/>
      <c r="E18" s="75"/>
      <c r="F18" s="76"/>
      <c r="G18" s="64"/>
      <c r="H18" s="77" t="s">
        <v>43</v>
      </c>
      <c r="I18" s="75"/>
      <c r="J18" s="75"/>
      <c r="K18" s="78"/>
      <c r="L18" s="75"/>
      <c r="M18" s="79"/>
      <c r="O18" s="67"/>
      <c r="P18" s="67"/>
      <c r="Q18" s="67"/>
      <c r="R18" s="67"/>
    </row>
    <row r="19" spans="1:18" ht="15.5" x14ac:dyDescent="0.35">
      <c r="A19" s="118" t="s">
        <v>40</v>
      </c>
      <c r="B19" s="119"/>
      <c r="C19" s="99" t="s">
        <v>17</v>
      </c>
      <c r="D19" s="119" t="s">
        <v>19</v>
      </c>
      <c r="E19" s="119"/>
      <c r="F19" s="102" t="s">
        <v>14</v>
      </c>
      <c r="G19" s="9"/>
      <c r="H19" s="118" t="s">
        <v>19</v>
      </c>
      <c r="I19" s="119"/>
      <c r="J19" s="99" t="s">
        <v>14</v>
      </c>
      <c r="K19" s="119" t="s">
        <v>35</v>
      </c>
      <c r="L19" s="119"/>
      <c r="M19" s="102" t="s">
        <v>14</v>
      </c>
      <c r="O19" s="67"/>
      <c r="P19" s="67"/>
      <c r="Q19" s="67"/>
      <c r="R19" s="67"/>
    </row>
    <row r="20" spans="1:18" ht="15.5" x14ac:dyDescent="0.35">
      <c r="A20" s="107" t="s">
        <v>12</v>
      </c>
      <c r="B20" s="108"/>
      <c r="C20" s="64"/>
      <c r="D20" s="111"/>
      <c r="E20" s="108" t="s">
        <v>13</v>
      </c>
      <c r="F20" s="65"/>
      <c r="G20" s="64"/>
      <c r="H20" s="107" t="s">
        <v>12</v>
      </c>
      <c r="I20" s="108"/>
      <c r="J20" s="64"/>
      <c r="K20" s="111"/>
      <c r="L20" s="108" t="s">
        <v>13</v>
      </c>
      <c r="M20" s="66"/>
      <c r="O20" s="67"/>
      <c r="P20" s="67"/>
      <c r="Q20" s="67"/>
      <c r="R20" s="67"/>
    </row>
    <row r="21" spans="1:18" ht="15.5" x14ac:dyDescent="0.35">
      <c r="A21" s="109">
        <v>250</v>
      </c>
      <c r="B21" s="110"/>
      <c r="C21" s="64"/>
      <c r="D21" s="112"/>
      <c r="E21" s="110">
        <v>250</v>
      </c>
      <c r="F21" s="65"/>
      <c r="G21" s="64"/>
      <c r="H21" s="109">
        <v>425</v>
      </c>
      <c r="I21" s="110"/>
      <c r="J21" s="64"/>
      <c r="K21" s="112"/>
      <c r="L21" s="110">
        <v>425</v>
      </c>
      <c r="M21" s="66"/>
      <c r="O21" s="67"/>
      <c r="P21" s="67"/>
      <c r="Q21" s="67"/>
      <c r="R21" s="67"/>
    </row>
    <row r="22" spans="1:18" ht="15.5" x14ac:dyDescent="0.35">
      <c r="A22" s="36"/>
      <c r="B22" s="38"/>
      <c r="C22" s="64"/>
      <c r="E22" s="38"/>
      <c r="F22" s="65"/>
      <c r="G22" s="64"/>
      <c r="H22" s="36"/>
      <c r="I22" s="38"/>
      <c r="J22" s="64"/>
      <c r="L22" s="38"/>
      <c r="M22" s="66"/>
      <c r="O22" s="67"/>
      <c r="P22" s="67"/>
      <c r="Q22" s="67"/>
      <c r="R22" s="67"/>
    </row>
    <row r="23" spans="1:18" ht="16" thickBot="1" x14ac:dyDescent="0.4">
      <c r="A23" s="68"/>
      <c r="B23" s="69"/>
      <c r="C23" s="69"/>
      <c r="D23" s="70"/>
      <c r="E23" s="69"/>
      <c r="F23" s="71"/>
      <c r="G23" s="64"/>
      <c r="H23" s="68"/>
      <c r="I23" s="69"/>
      <c r="J23" s="69"/>
      <c r="K23" s="70"/>
      <c r="L23" s="69"/>
      <c r="M23" s="71"/>
      <c r="O23" s="67"/>
      <c r="P23" s="67"/>
      <c r="Q23" s="67"/>
      <c r="R23" s="67"/>
    </row>
    <row r="24" spans="1:18" ht="16" hidden="1" thickBot="1" x14ac:dyDescent="0.4">
      <c r="A24" s="120" t="str">
        <f>IF(AND(A19='work 2-3 Key'!A19:B19,'work 2-3'!C19='work 2-3 Key'!C19,'work 2-3'!A20='work 2-3 Key'!A20,'work 2-3'!B20='work 2-3 Key'!B20,'work 2-3'!A21='work 2-3 Key'!A21,'work 2-3'!B21='work 2-3 Key'!B21),'work 2-3 Key'!$D$49,'work 2-3 Key'!$D$50)</f>
        <v>OK</v>
      </c>
      <c r="B24" s="121"/>
      <c r="C24" s="80"/>
      <c r="D24" s="121" t="str">
        <f>IF(AND(D19='work 2-3 Key'!D19:E19,'work 2-3'!F19='work 2-3 Key'!F19,'work 2-3'!D20='work 2-3 Key'!D20,'work 2-3'!E20='work 2-3 Key'!E20,'work 2-3'!D21='work 2-3 Key'!D21,'work 2-3'!E21='work 2-3 Key'!E21),'work 2-3 Key'!$D$49,'work 2-3 Key'!$D$50)</f>
        <v>OK</v>
      </c>
      <c r="E24" s="121"/>
      <c r="F24" s="81"/>
      <c r="G24" s="67"/>
      <c r="H24" s="120" t="str">
        <f>IF(AND(H19='work 2-3 Key'!H19:I19,'work 2-3'!J19='work 2-3 Key'!J19,'work 2-3'!H20='work 2-3 Key'!H20,'work 2-3'!I20='work 2-3 Key'!I20,'work 2-3'!H21='work 2-3 Key'!H21,'work 2-3'!I21='work 2-3 Key'!I21),'work 2-3 Key'!$D$49,'work 2-3 Key'!$D$50)</f>
        <v>OK</v>
      </c>
      <c r="I24" s="121"/>
      <c r="J24" s="80"/>
      <c r="K24" s="121" t="str">
        <f>IF(AND(K19='work 2-3 Key'!K19:L19,'work 2-3'!M19='work 2-3 Key'!M19,'work 2-3'!K20='work 2-3 Key'!K20,'work 2-3'!L20='work 2-3 Key'!L20,'work 2-3'!K21='work 2-3 Key'!K21,'work 2-3'!L21='work 2-3 Key'!L21),'work 2-3 Key'!$D$49,'work 2-3 Key'!$D$50)</f>
        <v>OK</v>
      </c>
      <c r="L24" s="121"/>
      <c r="M24" s="81"/>
      <c r="O24" s="67"/>
      <c r="P24" s="67"/>
      <c r="Q24" s="67"/>
      <c r="R24" s="67"/>
    </row>
    <row r="25" spans="1:18" ht="14.5" thickBot="1" x14ac:dyDescent="0.35">
      <c r="A25" s="5"/>
      <c r="B25" s="67"/>
      <c r="C25" s="67"/>
      <c r="D25" s="67"/>
      <c r="E25" s="67"/>
      <c r="F25" s="67"/>
      <c r="G25" s="67"/>
      <c r="H25" s="67"/>
      <c r="I25" s="67"/>
      <c r="J25" s="67"/>
      <c r="K25" s="82"/>
      <c r="L25" s="67"/>
      <c r="M25" s="67"/>
      <c r="O25" s="67"/>
      <c r="P25" s="67"/>
      <c r="Q25" s="67"/>
      <c r="R25" s="67"/>
    </row>
    <row r="26" spans="1:18" ht="15.5" x14ac:dyDescent="0.35">
      <c r="A26" s="25" t="s">
        <v>44</v>
      </c>
      <c r="B26" s="83"/>
      <c r="C26" s="83"/>
      <c r="D26" s="83"/>
      <c r="E26" s="83"/>
      <c r="F26" s="84"/>
      <c r="G26" s="67"/>
      <c r="H26" s="67"/>
      <c r="I26" s="67"/>
      <c r="J26" s="67"/>
      <c r="K26" s="82"/>
      <c r="L26" s="67"/>
      <c r="M26" s="67"/>
      <c r="O26" s="67"/>
      <c r="P26" s="67"/>
      <c r="Q26" s="67"/>
      <c r="R26" s="67"/>
    </row>
    <row r="27" spans="1:18" ht="15.5" x14ac:dyDescent="0.35">
      <c r="A27" s="118" t="s">
        <v>38</v>
      </c>
      <c r="B27" s="119"/>
      <c r="C27" s="99" t="s">
        <v>16</v>
      </c>
      <c r="D27" s="119" t="s">
        <v>19</v>
      </c>
      <c r="E27" s="119"/>
      <c r="F27" s="102" t="s">
        <v>14</v>
      </c>
      <c r="G27" s="67"/>
      <c r="H27" s="67"/>
      <c r="I27" s="67"/>
      <c r="J27" s="67"/>
      <c r="K27" s="82"/>
      <c r="L27" s="67"/>
      <c r="M27" s="67"/>
      <c r="O27" s="67"/>
      <c r="P27" s="67"/>
      <c r="Q27" s="67"/>
      <c r="R27" s="67"/>
    </row>
    <row r="28" spans="1:18" ht="15.5" x14ac:dyDescent="0.35">
      <c r="A28" s="107" t="s">
        <v>12</v>
      </c>
      <c r="B28" s="108"/>
      <c r="C28" s="64"/>
      <c r="D28" s="111"/>
      <c r="E28" s="108" t="s">
        <v>13</v>
      </c>
      <c r="F28" s="65"/>
      <c r="G28" s="67"/>
      <c r="H28" s="67"/>
      <c r="I28" s="67"/>
      <c r="J28" s="67"/>
      <c r="K28" s="82"/>
      <c r="L28" s="67"/>
      <c r="M28" s="67"/>
      <c r="O28" s="67"/>
      <c r="P28" s="67"/>
      <c r="Q28" s="67"/>
      <c r="R28" s="67"/>
    </row>
    <row r="29" spans="1:18" ht="15.5" x14ac:dyDescent="0.35">
      <c r="A29" s="109">
        <v>300</v>
      </c>
      <c r="B29" s="110"/>
      <c r="C29" s="64"/>
      <c r="D29" s="112"/>
      <c r="E29" s="110">
        <v>300</v>
      </c>
      <c r="F29" s="65"/>
      <c r="G29" s="67"/>
      <c r="H29" s="67"/>
      <c r="I29" s="67"/>
      <c r="J29" s="67"/>
      <c r="K29" s="82"/>
      <c r="L29" s="67"/>
      <c r="M29" s="67"/>
      <c r="O29" s="67"/>
      <c r="P29" s="67"/>
      <c r="Q29" s="67"/>
      <c r="R29" s="67"/>
    </row>
    <row r="30" spans="1:18" ht="15.5" x14ac:dyDescent="0.35">
      <c r="A30" s="36"/>
      <c r="B30" s="38"/>
      <c r="C30" s="64"/>
      <c r="E30" s="38"/>
      <c r="F30" s="65"/>
      <c r="G30" s="67"/>
      <c r="H30" s="67"/>
      <c r="I30" s="67"/>
      <c r="J30" s="67"/>
      <c r="K30" s="82"/>
      <c r="L30" s="67"/>
      <c r="M30" s="67"/>
      <c r="O30" s="67"/>
      <c r="P30" s="67"/>
      <c r="Q30" s="67"/>
      <c r="R30" s="67"/>
    </row>
    <row r="31" spans="1:18" ht="16" thickBot="1" x14ac:dyDescent="0.4">
      <c r="A31" s="68"/>
      <c r="B31" s="69"/>
      <c r="C31" s="69"/>
      <c r="D31" s="70"/>
      <c r="E31" s="69"/>
      <c r="F31" s="71"/>
      <c r="G31" s="67"/>
      <c r="H31" s="67"/>
      <c r="I31" s="67"/>
      <c r="J31" s="67"/>
      <c r="K31" s="82"/>
      <c r="L31" s="67"/>
      <c r="M31" s="67"/>
      <c r="O31" s="67"/>
      <c r="P31" s="67"/>
      <c r="Q31" s="67"/>
      <c r="R31" s="67"/>
    </row>
    <row r="32" spans="1:18" ht="16" hidden="1" thickBot="1" x14ac:dyDescent="0.4">
      <c r="A32" s="120" t="str">
        <f>IF(AND(A27='work 2-3 Key'!A27:B27,'work 2-3'!C27='work 2-3 Key'!C27,'work 2-3'!A28='work 2-3 Key'!A28,'work 2-3'!B28='work 2-3 Key'!B28,'work 2-3'!A29='work 2-3 Key'!A29,'work 2-3'!B29='work 2-3 Key'!B29),'work 2-3 Key'!$D$49,'work 2-3 Key'!$D$50)</f>
        <v>OK</v>
      </c>
      <c r="B32" s="121"/>
      <c r="C32" s="80"/>
      <c r="D32" s="121" t="str">
        <f>IF(AND(D27='work 2-3 Key'!D27:E27,'work 2-3'!F27='work 2-3 Key'!F27,'work 2-3'!D28='work 2-3 Key'!D28,'work 2-3'!E28='work 2-3 Key'!E28,'work 2-3'!D29='work 2-3 Key'!D29,'work 2-3'!E29='work 2-3 Key'!E29),'work 2-3 Key'!$D$49,'work 2-3 Key'!$D$50)</f>
        <v>OK</v>
      </c>
      <c r="E32" s="121"/>
      <c r="F32" s="81"/>
      <c r="G32" s="67"/>
      <c r="H32" s="67"/>
      <c r="I32" s="67"/>
      <c r="J32" s="67"/>
      <c r="K32" s="82"/>
      <c r="L32" s="67"/>
      <c r="M32" s="67"/>
      <c r="O32" s="67"/>
      <c r="P32" s="67"/>
      <c r="Q32" s="67"/>
      <c r="R32" s="67"/>
    </row>
    <row r="33" spans="1:18" ht="14.5" thickBot="1" x14ac:dyDescent="0.35">
      <c r="A33" s="6"/>
      <c r="B33" s="67"/>
      <c r="C33" s="67"/>
      <c r="D33" s="67"/>
      <c r="E33" s="67"/>
      <c r="F33" s="67"/>
      <c r="G33" s="67"/>
      <c r="H33" s="67"/>
      <c r="I33" s="67"/>
      <c r="J33" s="67"/>
      <c r="K33" s="82"/>
      <c r="L33" s="67"/>
      <c r="M33" s="67"/>
      <c r="O33" s="67"/>
      <c r="P33" s="67"/>
      <c r="Q33" s="67"/>
      <c r="R33" s="67"/>
    </row>
    <row r="34" spans="1:18" ht="14.5" thickBot="1" x14ac:dyDescent="0.35">
      <c r="A34" s="85" t="s">
        <v>5</v>
      </c>
      <c r="B34" s="86"/>
      <c r="C34" s="86"/>
      <c r="D34" s="87"/>
      <c r="E34" s="88"/>
      <c r="F34" s="67"/>
      <c r="G34" s="67"/>
      <c r="H34" s="67"/>
      <c r="I34" s="67"/>
      <c r="J34" s="82"/>
      <c r="K34" s="82"/>
      <c r="L34" s="67"/>
      <c r="M34" s="67"/>
      <c r="O34" s="67"/>
      <c r="P34" s="67"/>
      <c r="Q34" s="67"/>
      <c r="R34" s="67"/>
    </row>
    <row r="35" spans="1:18" ht="14" x14ac:dyDescent="0.3">
      <c r="A35" s="6"/>
      <c r="B35" s="67"/>
      <c r="C35" s="67"/>
      <c r="E35" s="67"/>
      <c r="F35" s="67"/>
      <c r="G35" s="67"/>
      <c r="H35" s="67"/>
      <c r="I35" s="67"/>
      <c r="J35" s="82"/>
      <c r="K35" s="82"/>
      <c r="L35" s="67"/>
      <c r="M35" s="67"/>
      <c r="O35" s="67"/>
      <c r="P35" s="67"/>
      <c r="Q35" s="67"/>
      <c r="R35" s="67"/>
    </row>
    <row r="36" spans="1:18" ht="15" customHeight="1" x14ac:dyDescent="0.3">
      <c r="A36" s="6"/>
      <c r="B36" s="6"/>
      <c r="C36" s="67"/>
      <c r="D36" s="67"/>
      <c r="E36" s="67"/>
      <c r="F36" s="67"/>
      <c r="G36" s="67"/>
      <c r="H36" s="67"/>
      <c r="I36" s="67"/>
      <c r="J36" s="82"/>
      <c r="K36" s="82"/>
      <c r="L36" s="67"/>
      <c r="M36" s="67"/>
      <c r="O36" s="67"/>
      <c r="P36" s="67"/>
      <c r="Q36" s="67"/>
      <c r="R36" s="67"/>
    </row>
    <row r="37" spans="1:18" ht="14" x14ac:dyDescent="0.3">
      <c r="A37" s="6"/>
      <c r="B37" s="6"/>
      <c r="C37" s="67"/>
      <c r="D37" s="67"/>
      <c r="E37" s="67"/>
      <c r="F37" s="67"/>
      <c r="G37" s="67"/>
      <c r="H37" s="67"/>
      <c r="I37" s="67"/>
      <c r="J37" s="82"/>
      <c r="K37" s="82"/>
      <c r="L37" s="67"/>
      <c r="M37" s="67"/>
      <c r="O37" s="67"/>
      <c r="P37" s="67"/>
      <c r="Q37" s="67"/>
      <c r="R37" s="67"/>
    </row>
    <row r="38" spans="1:18" ht="14" x14ac:dyDescent="0.3">
      <c r="A38" s="6"/>
      <c r="B38" s="6"/>
      <c r="C38" s="67"/>
      <c r="D38" s="67"/>
      <c r="E38" s="67"/>
      <c r="F38" s="67"/>
      <c r="G38" s="67"/>
      <c r="H38" s="67"/>
      <c r="I38" s="67"/>
      <c r="J38" s="82"/>
      <c r="K38" s="82"/>
      <c r="L38" s="67"/>
      <c r="M38" s="67"/>
      <c r="O38" s="67"/>
      <c r="P38" s="67"/>
      <c r="Q38" s="67"/>
      <c r="R38" s="67"/>
    </row>
    <row r="39" spans="1:18" ht="14" x14ac:dyDescent="0.3">
      <c r="A39" s="6"/>
      <c r="B39" s="6"/>
      <c r="C39" s="67"/>
      <c r="D39" s="67"/>
      <c r="E39" s="67"/>
      <c r="F39" s="67"/>
      <c r="G39" s="67"/>
      <c r="H39" s="67"/>
      <c r="I39" s="67"/>
      <c r="J39" s="82"/>
      <c r="K39" s="82"/>
      <c r="L39" s="67"/>
      <c r="M39" s="67"/>
      <c r="O39" s="67"/>
      <c r="P39" s="67"/>
      <c r="Q39" s="67"/>
      <c r="R39" s="67"/>
    </row>
    <row r="40" spans="1:18" ht="14" x14ac:dyDescent="0.3">
      <c r="A40" s="5" t="s">
        <v>31</v>
      </c>
      <c r="B40" s="67"/>
      <c r="C40" s="67"/>
      <c r="D40" s="67"/>
      <c r="E40" s="67"/>
      <c r="F40" s="67"/>
      <c r="G40" s="67"/>
      <c r="H40" s="67"/>
      <c r="I40" s="67"/>
      <c r="J40" s="67"/>
      <c r="K40" s="82"/>
      <c r="L40" s="67"/>
      <c r="M40" s="67"/>
      <c r="O40" s="67"/>
      <c r="P40" s="67"/>
      <c r="Q40" s="67"/>
      <c r="R40" s="67"/>
    </row>
    <row r="41" spans="1:18" ht="15.5" x14ac:dyDescent="0.35">
      <c r="A41" s="5"/>
      <c r="B41" s="67"/>
      <c r="C41" s="94"/>
      <c r="D41" s="89" t="s">
        <v>8</v>
      </c>
      <c r="E41" s="90" t="s">
        <v>19</v>
      </c>
      <c r="F41" s="94"/>
      <c r="G41" s="67"/>
      <c r="H41" s="67"/>
      <c r="I41" s="67"/>
      <c r="J41" s="67"/>
      <c r="K41" s="82"/>
      <c r="L41" s="67"/>
      <c r="M41" s="67"/>
      <c r="O41" s="67"/>
      <c r="P41" s="67"/>
      <c r="Q41" s="67"/>
      <c r="R41" s="67"/>
    </row>
    <row r="42" spans="1:18" ht="15.5" x14ac:dyDescent="0.35">
      <c r="A42" s="6"/>
      <c r="B42" s="67"/>
      <c r="C42" s="94"/>
      <c r="D42" s="91" t="s">
        <v>14</v>
      </c>
      <c r="E42" s="90" t="s">
        <v>35</v>
      </c>
      <c r="F42" s="94"/>
      <c r="G42" s="67"/>
      <c r="H42" s="67"/>
      <c r="I42" s="67"/>
      <c r="J42" s="67"/>
      <c r="K42" s="82"/>
      <c r="L42" s="67"/>
      <c r="M42" s="67"/>
      <c r="O42" s="67"/>
      <c r="P42" s="67"/>
      <c r="Q42" s="67"/>
      <c r="R42" s="67"/>
    </row>
    <row r="43" spans="1:18" ht="15.5" x14ac:dyDescent="0.35">
      <c r="A43" s="5"/>
      <c r="B43" s="67"/>
      <c r="C43" s="94"/>
      <c r="D43" s="92" t="s">
        <v>15</v>
      </c>
      <c r="E43" s="90" t="s">
        <v>1</v>
      </c>
      <c r="F43" s="94"/>
      <c r="G43" s="67"/>
      <c r="H43" s="67"/>
      <c r="I43" s="67"/>
      <c r="J43" s="67"/>
      <c r="K43" s="82"/>
      <c r="L43" s="67"/>
      <c r="M43" s="67"/>
      <c r="O43" s="67"/>
      <c r="P43" s="67"/>
      <c r="Q43" s="67"/>
      <c r="R43" s="67"/>
    </row>
    <row r="44" spans="1:18" ht="15.5" x14ac:dyDescent="0.35">
      <c r="A44" s="6"/>
      <c r="B44" s="67"/>
      <c r="C44" s="94"/>
      <c r="D44" s="92" t="s">
        <v>16</v>
      </c>
      <c r="E44" s="90" t="s">
        <v>7</v>
      </c>
      <c r="F44" s="94"/>
      <c r="G44" s="67"/>
      <c r="H44" s="67"/>
      <c r="I44" s="67"/>
      <c r="J44" s="67"/>
      <c r="K44" s="82"/>
      <c r="L44" s="67"/>
      <c r="M44" s="67"/>
      <c r="N44" s="67"/>
      <c r="O44" s="67"/>
      <c r="P44" s="67"/>
      <c r="Q44" s="67"/>
      <c r="R44" s="67"/>
    </row>
    <row r="45" spans="1:18" ht="15.5" x14ac:dyDescent="0.35">
      <c r="A45" s="5"/>
      <c r="B45" s="67"/>
      <c r="C45" s="94"/>
      <c r="D45" s="92" t="s">
        <v>18</v>
      </c>
      <c r="E45" s="90" t="s">
        <v>36</v>
      </c>
      <c r="F45" s="94"/>
      <c r="G45" s="67"/>
      <c r="H45" s="67"/>
      <c r="I45" s="67"/>
      <c r="J45" s="67"/>
      <c r="K45" s="82"/>
      <c r="L45" s="67"/>
      <c r="M45" s="67"/>
      <c r="N45" s="67"/>
      <c r="O45" s="67"/>
      <c r="P45" s="67"/>
      <c r="Q45" s="67"/>
      <c r="R45" s="67"/>
    </row>
    <row r="46" spans="1:18" ht="15.5" x14ac:dyDescent="0.35">
      <c r="A46" s="6"/>
      <c r="B46" s="67"/>
      <c r="C46" s="94"/>
      <c r="D46" s="92" t="s">
        <v>17</v>
      </c>
      <c r="E46" s="90" t="s">
        <v>37</v>
      </c>
      <c r="F46" s="94"/>
      <c r="G46" s="67"/>
      <c r="H46" s="67"/>
      <c r="I46" s="67"/>
      <c r="J46" s="67"/>
      <c r="K46" s="82"/>
      <c r="L46" s="67"/>
      <c r="M46" s="67"/>
      <c r="N46" s="67"/>
      <c r="O46" s="67"/>
      <c r="P46" s="67"/>
      <c r="Q46" s="67"/>
      <c r="R46" s="67"/>
    </row>
    <row r="47" spans="1:18" ht="15.5" x14ac:dyDescent="0.35">
      <c r="A47" s="5"/>
      <c r="B47" s="67"/>
      <c r="C47" s="94"/>
      <c r="D47" s="93"/>
      <c r="E47" s="90" t="s">
        <v>38</v>
      </c>
      <c r="F47" s="94"/>
      <c r="G47" s="67"/>
      <c r="H47" s="67"/>
      <c r="I47" s="67"/>
      <c r="J47" s="67"/>
      <c r="K47" s="82"/>
      <c r="L47" s="67"/>
      <c r="M47" s="67"/>
    </row>
    <row r="48" spans="1:18" ht="15.5" x14ac:dyDescent="0.35">
      <c r="B48" s="113"/>
      <c r="C48" s="93"/>
      <c r="D48" s="90" t="s">
        <v>9</v>
      </c>
      <c r="E48" s="90" t="s">
        <v>6</v>
      </c>
      <c r="F48" s="93"/>
      <c r="G48" s="113"/>
    </row>
    <row r="49" spans="2:7" ht="15.5" x14ac:dyDescent="0.35">
      <c r="B49" s="113"/>
      <c r="C49" s="93"/>
      <c r="D49" s="90" t="s">
        <v>10</v>
      </c>
      <c r="E49" s="90" t="s">
        <v>39</v>
      </c>
      <c r="F49" s="93"/>
      <c r="G49" s="113"/>
    </row>
    <row r="50" spans="2:7" ht="15.5" x14ac:dyDescent="0.35">
      <c r="B50" s="113"/>
      <c r="C50" s="93"/>
      <c r="D50" s="94"/>
      <c r="E50" s="90" t="s">
        <v>40</v>
      </c>
      <c r="F50" s="93"/>
      <c r="G50" s="113"/>
    </row>
    <row r="51" spans="2:7" ht="15.5" x14ac:dyDescent="0.35">
      <c r="B51" s="113"/>
      <c r="C51" s="93"/>
      <c r="D51" s="89" t="s">
        <v>11</v>
      </c>
      <c r="E51" s="90" t="s">
        <v>8</v>
      </c>
      <c r="F51" s="93"/>
      <c r="G51" s="113"/>
    </row>
    <row r="52" spans="2:7" ht="14" x14ac:dyDescent="0.3">
      <c r="B52" s="113"/>
      <c r="C52" s="93"/>
      <c r="D52" s="89"/>
      <c r="E52" s="93"/>
      <c r="F52" s="93"/>
      <c r="G52" s="113"/>
    </row>
    <row r="53" spans="2:7" ht="14" x14ac:dyDescent="0.3">
      <c r="B53" s="113"/>
      <c r="C53" s="93"/>
      <c r="D53" s="89" t="s">
        <v>12</v>
      </c>
      <c r="E53" s="93"/>
      <c r="F53" s="93"/>
      <c r="G53" s="113"/>
    </row>
    <row r="54" spans="2:7" ht="14" x14ac:dyDescent="0.3">
      <c r="B54" s="113"/>
      <c r="C54" s="93"/>
      <c r="D54" s="89" t="s">
        <v>13</v>
      </c>
      <c r="E54" s="93"/>
      <c r="F54" s="93"/>
      <c r="G54" s="113"/>
    </row>
    <row r="55" spans="2:7" x14ac:dyDescent="0.25">
      <c r="B55" s="113"/>
      <c r="C55" s="93"/>
      <c r="D55" s="93"/>
      <c r="E55" s="93"/>
      <c r="F55" s="93"/>
      <c r="G55" s="113"/>
    </row>
    <row r="56" spans="2:7" ht="14" x14ac:dyDescent="0.3">
      <c r="B56" s="113"/>
      <c r="C56" s="93"/>
      <c r="D56" s="95" t="s">
        <v>3</v>
      </c>
      <c r="E56" s="93"/>
      <c r="F56" s="93"/>
      <c r="G56" s="113"/>
    </row>
    <row r="57" spans="2:7" ht="14" x14ac:dyDescent="0.3">
      <c r="B57" s="113"/>
      <c r="C57" s="93"/>
      <c r="D57" s="95" t="s">
        <v>4</v>
      </c>
      <c r="E57" s="93"/>
      <c r="F57" s="93"/>
      <c r="G57" s="113"/>
    </row>
    <row r="58" spans="2:7" x14ac:dyDescent="0.25">
      <c r="C58" s="93"/>
      <c r="D58" s="93"/>
      <c r="E58" s="93"/>
      <c r="F58" s="93"/>
    </row>
  </sheetData>
  <sheetProtection sheet="1" objects="1" scenarios="1" selectLockedCells="1"/>
  <mergeCells count="20">
    <mergeCell ref="H19:I19"/>
    <mergeCell ref="K19:L19"/>
    <mergeCell ref="A24:B24"/>
    <mergeCell ref="D24:E24"/>
    <mergeCell ref="H24:I24"/>
    <mergeCell ref="K24:L24"/>
    <mergeCell ref="A19:B19"/>
    <mergeCell ref="D19:E19"/>
    <mergeCell ref="A27:B27"/>
    <mergeCell ref="D27:E27"/>
    <mergeCell ref="A32:B32"/>
    <mergeCell ref="D32:E32"/>
    <mergeCell ref="A11:B11"/>
    <mergeCell ref="D11:E11"/>
    <mergeCell ref="H11:I11"/>
    <mergeCell ref="K11:L11"/>
    <mergeCell ref="A16:B16"/>
    <mergeCell ref="D16:E16"/>
    <mergeCell ref="H16:I16"/>
    <mergeCell ref="K16:L16"/>
  </mergeCells>
  <phoneticPr fontId="2" type="noConversion"/>
  <conditionalFormatting sqref="C11 F11:G11 J11 M11 M19 J19 F19:G19 C19 F27 C27">
    <cfRule type="cellIs" dxfId="15" priority="1" stopIfTrue="1" operator="equal">
      <formula>$D$41</formula>
    </cfRule>
    <cfRule type="cellIs" dxfId="14" priority="2" stopIfTrue="1" operator="notEqual">
      <formula>$D$41</formula>
    </cfRule>
  </conditionalFormatting>
  <conditionalFormatting sqref="A11:B11 D11:E11 H11:I11 K11:L11 A19:B19 D19:E19 H19:I19 K19:L19 A27:B27 D27:E27">
    <cfRule type="cellIs" dxfId="13" priority="3" stopIfTrue="1" operator="equal">
      <formula>$E$51</formula>
    </cfRule>
    <cfRule type="cellIs" dxfId="12" priority="4" stopIfTrue="1" operator="notEqual">
      <formula>$E$51</formula>
    </cfRule>
  </conditionalFormatting>
  <conditionalFormatting sqref="A16:B16 D16:E16 H16:I16 K16:L16 A24:B24 D24:E24 H24:I24 K24:L24 A32:B32 D32:E32">
    <cfRule type="cellIs" dxfId="11" priority="5" stopIfTrue="1" operator="equal">
      <formula>$D$56</formula>
    </cfRule>
    <cfRule type="cellIs" dxfId="10" priority="6" stopIfTrue="1" operator="equal">
      <formula>$D$57</formula>
    </cfRule>
  </conditionalFormatting>
  <dataValidations count="4">
    <dataValidation type="list" allowBlank="1" showInputMessage="1" showErrorMessage="1" sqref="G11 G19" xr:uid="{00000000-0002-0000-0000-000000000000}">
      <formula1>$D$42:$D$46</formula1>
    </dataValidation>
    <dataValidation type="list" allowBlank="1" showInputMessage="1" showErrorMessage="1" sqref="A12:B12 D12:E12 H12:I12 K12:L12 A20:B20 D20:E20 H20:I20 K20:L20 A28:B28 D28:E28" xr:uid="{00000000-0002-0000-0000-000001000000}">
      <formula1>$D$53:$D$55</formula1>
    </dataValidation>
    <dataValidation type="list" allowBlank="1" showInputMessage="1" showErrorMessage="1" sqref="A11:B11 D11:E11 H11:I11 K11:L11 A19:B19 D19:E19 H19:I19 K19:L19 A27:B27 D27:E27" xr:uid="{00000000-0002-0000-0000-000002000000}">
      <formula1>$E$41:$E$51</formula1>
    </dataValidation>
    <dataValidation type="list" allowBlank="1" showInputMessage="1" showErrorMessage="1" sqref="C11 F11 J11 M11 C19 F19 J19 M19 C27 F27" xr:uid="{00000000-0002-0000-0000-000003000000}">
      <formula1>$D$41:$D$46</formula1>
    </dataValidation>
  </dataValidations>
  <printOptions horizontalCentered="1"/>
  <pageMargins left="7.0000000000000007E-2" right="0.12" top="0.7" bottom="0.65" header="0.5" footer="0.5"/>
  <pageSetup orientation="landscape" horizont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50"/>
  <sheetViews>
    <sheetView workbookViewId="0">
      <selection activeCell="E30" sqref="E30"/>
    </sheetView>
  </sheetViews>
  <sheetFormatPr defaultRowHeight="12.5" x14ac:dyDescent="0.25"/>
  <cols>
    <col min="1" max="1" width="11.7265625" customWidth="1"/>
    <col min="2" max="2" width="15.54296875" customWidth="1"/>
    <col min="3" max="3" width="6.26953125" customWidth="1"/>
    <col min="4" max="4" width="11.7265625" customWidth="1"/>
    <col min="5" max="5" width="17" customWidth="1"/>
    <col min="6" max="6" width="6.26953125" customWidth="1"/>
    <col min="7" max="7" width="5.7265625" customWidth="1"/>
    <col min="8" max="8" width="11.7265625" customWidth="1"/>
    <col min="9" max="9" width="14.7265625" customWidth="1"/>
    <col min="10" max="10" width="5.7265625" customWidth="1"/>
    <col min="11" max="11" width="11.7265625" customWidth="1"/>
    <col min="12" max="12" width="14.26953125" customWidth="1"/>
    <col min="13" max="13" width="6.81640625" customWidth="1"/>
    <col min="14" max="17" width="17.7265625" customWidth="1"/>
    <col min="18" max="18" width="17.453125" customWidth="1"/>
  </cols>
  <sheetData>
    <row r="1" spans="1:18" ht="15.5" x14ac:dyDescent="0.35">
      <c r="A1" s="1" t="s">
        <v>32</v>
      </c>
      <c r="B1" s="1"/>
      <c r="C1" s="1"/>
      <c r="D1" s="1" t="s">
        <v>0</v>
      </c>
      <c r="E1" s="11" t="s">
        <v>2</v>
      </c>
      <c r="F1" s="1"/>
      <c r="G1" s="1"/>
      <c r="H1" s="1"/>
      <c r="I1" s="1"/>
      <c r="J1" s="1"/>
      <c r="K1" s="1"/>
      <c r="L1" s="1"/>
      <c r="M1" s="1"/>
      <c r="N1" s="13"/>
      <c r="O1" s="1"/>
      <c r="P1" s="1"/>
      <c r="Q1" s="1"/>
      <c r="R1" s="1"/>
    </row>
    <row r="2" spans="1:18" ht="15.5" x14ac:dyDescent="0.35">
      <c r="A2" s="1" t="s">
        <v>33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3"/>
      <c r="O2" s="1"/>
      <c r="P2" s="1"/>
      <c r="Q2" s="1"/>
      <c r="R2" s="1"/>
    </row>
    <row r="3" spans="1:18" ht="15.5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3"/>
      <c r="O3" s="1"/>
      <c r="P3" s="1"/>
      <c r="Q3" s="1"/>
      <c r="R3" s="1"/>
    </row>
    <row r="4" spans="1:18" ht="15.5" x14ac:dyDescent="0.35">
      <c r="A4" s="1" t="s">
        <v>21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3"/>
      <c r="O4" s="1"/>
      <c r="P4" s="1"/>
      <c r="Q4" s="1"/>
      <c r="R4" s="1"/>
    </row>
    <row r="5" spans="1:18" ht="15.5" x14ac:dyDescent="0.35">
      <c r="A5" s="37" t="s">
        <v>29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3"/>
      <c r="O5" s="1"/>
      <c r="P5" s="1"/>
      <c r="Q5" s="1"/>
      <c r="R5" s="1"/>
    </row>
    <row r="6" spans="1:18" ht="15.5" x14ac:dyDescent="0.35">
      <c r="A6" s="37" t="s">
        <v>30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3"/>
      <c r="O6" s="1"/>
      <c r="P6" s="1"/>
      <c r="Q6" s="1"/>
      <c r="R6" s="1"/>
    </row>
    <row r="7" spans="1:18" ht="15.5" x14ac:dyDescent="0.35">
      <c r="A7" s="37" t="s">
        <v>22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3"/>
      <c r="O7" s="1"/>
      <c r="P7" s="1"/>
      <c r="Q7" s="1"/>
      <c r="R7" s="1"/>
    </row>
    <row r="8" spans="1:18" ht="15.5" x14ac:dyDescent="0.35">
      <c r="A8" s="37" t="s">
        <v>28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3"/>
      <c r="O8" s="1"/>
      <c r="P8" s="1"/>
      <c r="Q8" s="1"/>
      <c r="R8" s="1"/>
    </row>
    <row r="9" spans="1:18" ht="16" thickBot="1" x14ac:dyDescent="0.4">
      <c r="A9" s="37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3"/>
      <c r="O9" s="1"/>
      <c r="P9" s="1"/>
      <c r="Q9" s="1"/>
      <c r="R9" s="1"/>
    </row>
    <row r="10" spans="1:18" ht="15.5" x14ac:dyDescent="0.35">
      <c r="A10" s="25" t="s">
        <v>41</v>
      </c>
      <c r="B10" s="26"/>
      <c r="C10" s="26"/>
      <c r="D10" s="26"/>
      <c r="E10" s="26"/>
      <c r="F10" s="27"/>
      <c r="G10" s="1"/>
      <c r="H10" s="25" t="s">
        <v>42</v>
      </c>
      <c r="I10" s="26"/>
      <c r="J10" s="26"/>
      <c r="K10" s="26"/>
      <c r="L10" s="26"/>
      <c r="M10" s="27"/>
      <c r="N10" s="13"/>
      <c r="O10" s="1"/>
      <c r="P10" s="1"/>
      <c r="Q10" s="1"/>
      <c r="R10" s="1"/>
    </row>
    <row r="11" spans="1:18" ht="15.5" x14ac:dyDescent="0.35">
      <c r="A11" s="123" t="s">
        <v>19</v>
      </c>
      <c r="B11" s="122"/>
      <c r="C11" s="9" t="s">
        <v>14</v>
      </c>
      <c r="D11" s="122" t="s">
        <v>6</v>
      </c>
      <c r="E11" s="122"/>
      <c r="F11" s="28" t="s">
        <v>18</v>
      </c>
      <c r="G11" s="9"/>
      <c r="H11" s="123" t="s">
        <v>35</v>
      </c>
      <c r="I11" s="122"/>
      <c r="J11" s="9" t="s">
        <v>14</v>
      </c>
      <c r="K11" s="122" t="s">
        <v>6</v>
      </c>
      <c r="L11" s="122"/>
      <c r="M11" s="28" t="s">
        <v>18</v>
      </c>
      <c r="O11" s="3"/>
      <c r="P11" s="8"/>
      <c r="Q11" s="8"/>
      <c r="R11" s="3"/>
    </row>
    <row r="12" spans="1:18" ht="15.5" x14ac:dyDescent="0.35">
      <c r="A12" s="56" t="s">
        <v>12</v>
      </c>
      <c r="B12" s="23"/>
      <c r="C12" s="21"/>
      <c r="D12" s="60"/>
      <c r="E12" s="23" t="s">
        <v>12</v>
      </c>
      <c r="F12" s="29"/>
      <c r="G12" s="21"/>
      <c r="H12" s="58" t="s">
        <v>12</v>
      </c>
      <c r="I12" s="23"/>
      <c r="J12" s="22"/>
      <c r="K12" s="57"/>
      <c r="L12" s="23" t="s">
        <v>12</v>
      </c>
      <c r="M12" s="39"/>
      <c r="O12" s="4"/>
      <c r="P12" s="8"/>
      <c r="Q12" s="8"/>
      <c r="R12" s="4"/>
    </row>
    <row r="13" spans="1:18" ht="15.5" x14ac:dyDescent="0.35">
      <c r="A13" s="52">
        <v>600</v>
      </c>
      <c r="B13" s="23"/>
      <c r="C13" s="23"/>
      <c r="D13" s="61"/>
      <c r="E13" s="23">
        <v>600</v>
      </c>
      <c r="F13" s="30"/>
      <c r="G13" s="23"/>
      <c r="H13" s="59">
        <v>850</v>
      </c>
      <c r="I13" s="23"/>
      <c r="J13" s="23"/>
      <c r="K13" s="53"/>
      <c r="L13" s="23">
        <v>850</v>
      </c>
      <c r="M13" s="34"/>
      <c r="O13" s="2"/>
      <c r="P13" s="2"/>
      <c r="Q13" s="2"/>
      <c r="R13" s="2"/>
    </row>
    <row r="14" spans="1:18" ht="15.5" x14ac:dyDescent="0.35">
      <c r="A14" s="36"/>
      <c r="B14" s="38"/>
      <c r="C14" s="23"/>
      <c r="E14" s="38"/>
      <c r="F14" s="30"/>
      <c r="G14" s="23"/>
      <c r="H14" s="36"/>
      <c r="I14" s="38"/>
      <c r="J14" s="23"/>
      <c r="L14" s="38"/>
      <c r="M14" s="34"/>
      <c r="O14" s="2"/>
      <c r="P14" s="2"/>
      <c r="Q14" s="2"/>
      <c r="R14" s="2"/>
    </row>
    <row r="15" spans="1:18" ht="15.5" x14ac:dyDescent="0.35">
      <c r="A15" s="31"/>
      <c r="B15" s="23"/>
      <c r="C15" s="23"/>
      <c r="D15" s="22"/>
      <c r="E15" s="23"/>
      <c r="F15" s="30"/>
      <c r="G15" s="23"/>
      <c r="H15" s="31"/>
      <c r="I15" s="23"/>
      <c r="J15" s="23"/>
      <c r="K15" s="22"/>
      <c r="L15" s="23"/>
      <c r="M15" s="34"/>
      <c r="O15" s="2"/>
      <c r="P15" s="2"/>
      <c r="Q15" s="2"/>
      <c r="R15" s="2"/>
    </row>
    <row r="16" spans="1:18" ht="16" thickBot="1" x14ac:dyDescent="0.4">
      <c r="A16" s="130"/>
      <c r="B16" s="131"/>
      <c r="C16" s="32"/>
      <c r="D16" s="132"/>
      <c r="E16" s="132"/>
      <c r="F16" s="33"/>
      <c r="G16" s="23"/>
      <c r="H16" s="133"/>
      <c r="I16" s="132"/>
      <c r="J16" s="32"/>
      <c r="K16" s="129"/>
      <c r="L16" s="129"/>
      <c r="M16" s="35"/>
      <c r="O16" s="2"/>
      <c r="P16" s="2"/>
      <c r="Q16" s="2"/>
      <c r="R16" s="2"/>
    </row>
    <row r="17" spans="1:18" ht="16" thickBot="1" x14ac:dyDescent="0.4">
      <c r="A17" s="21"/>
      <c r="B17" s="23"/>
      <c r="C17" s="23"/>
      <c r="D17" s="23"/>
      <c r="E17" s="23"/>
      <c r="F17" s="23"/>
      <c r="G17" s="23"/>
      <c r="H17" s="23"/>
      <c r="I17" s="23"/>
      <c r="J17" s="23"/>
      <c r="K17" s="24"/>
      <c r="L17" s="23"/>
      <c r="M17" s="12"/>
      <c r="O17" s="2"/>
      <c r="P17" s="2"/>
      <c r="Q17" s="2"/>
      <c r="R17" s="2"/>
    </row>
    <row r="18" spans="1:18" ht="15.5" x14ac:dyDescent="0.35">
      <c r="A18" s="42" t="s">
        <v>45</v>
      </c>
      <c r="B18" s="43"/>
      <c r="C18" s="43"/>
      <c r="D18" s="43"/>
      <c r="E18" s="43"/>
      <c r="F18" s="44"/>
      <c r="G18" s="23"/>
      <c r="H18" s="77" t="s">
        <v>43</v>
      </c>
      <c r="I18" s="43"/>
      <c r="J18" s="43"/>
      <c r="K18" s="46"/>
      <c r="L18" s="43"/>
      <c r="M18" s="47"/>
      <c r="O18" s="2"/>
      <c r="P18" s="2"/>
      <c r="Q18" s="2"/>
      <c r="R18" s="2"/>
    </row>
    <row r="19" spans="1:18" ht="15.5" x14ac:dyDescent="0.35">
      <c r="A19" s="123" t="s">
        <v>40</v>
      </c>
      <c r="B19" s="122"/>
      <c r="C19" s="9" t="s">
        <v>17</v>
      </c>
      <c r="D19" s="122" t="s">
        <v>19</v>
      </c>
      <c r="E19" s="122"/>
      <c r="F19" s="28" t="s">
        <v>14</v>
      </c>
      <c r="G19" s="9"/>
      <c r="H19" s="123" t="s">
        <v>19</v>
      </c>
      <c r="I19" s="122"/>
      <c r="J19" s="9" t="s">
        <v>14</v>
      </c>
      <c r="K19" s="122" t="s">
        <v>35</v>
      </c>
      <c r="L19" s="122"/>
      <c r="M19" s="28" t="s">
        <v>14</v>
      </c>
      <c r="O19" s="2"/>
      <c r="P19" s="2"/>
      <c r="Q19" s="2"/>
      <c r="R19" s="2"/>
    </row>
    <row r="20" spans="1:18" ht="15.5" x14ac:dyDescent="0.35">
      <c r="A20" s="62" t="s">
        <v>12</v>
      </c>
      <c r="B20" s="50"/>
      <c r="C20" s="23"/>
      <c r="D20" s="55"/>
      <c r="E20" s="50" t="s">
        <v>13</v>
      </c>
      <c r="F20" s="30"/>
      <c r="G20" s="23"/>
      <c r="H20" s="62" t="s">
        <v>12</v>
      </c>
      <c r="I20" s="50"/>
      <c r="J20" s="23"/>
      <c r="K20" s="55"/>
      <c r="L20" s="50" t="s">
        <v>13</v>
      </c>
      <c r="M20" s="34"/>
      <c r="O20" s="2"/>
      <c r="P20" s="2"/>
      <c r="Q20" s="2"/>
      <c r="R20" s="2"/>
    </row>
    <row r="21" spans="1:18" ht="15.5" x14ac:dyDescent="0.35">
      <c r="A21" s="63">
        <v>250</v>
      </c>
      <c r="B21" s="51"/>
      <c r="C21" s="23"/>
      <c r="D21" s="54"/>
      <c r="E21" s="51">
        <v>250</v>
      </c>
      <c r="F21" s="30"/>
      <c r="G21" s="23"/>
      <c r="H21" s="63">
        <v>425</v>
      </c>
      <c r="I21" s="51"/>
      <c r="J21" s="23"/>
      <c r="K21" s="54"/>
      <c r="L21" s="51">
        <v>425</v>
      </c>
      <c r="M21" s="34"/>
      <c r="O21" s="2"/>
      <c r="P21" s="2"/>
      <c r="Q21" s="2"/>
      <c r="R21" s="2"/>
    </row>
    <row r="22" spans="1:18" ht="15.5" x14ac:dyDescent="0.35">
      <c r="A22" s="36"/>
      <c r="B22" s="38"/>
      <c r="C22" s="23"/>
      <c r="E22" s="38"/>
      <c r="F22" s="30"/>
      <c r="G22" s="23"/>
      <c r="H22" s="36"/>
      <c r="I22" s="38"/>
      <c r="J22" s="23"/>
      <c r="L22" s="38"/>
      <c r="M22" s="34"/>
      <c r="O22" s="2"/>
      <c r="P22" s="2"/>
      <c r="Q22" s="2"/>
      <c r="R22" s="2"/>
    </row>
    <row r="23" spans="1:18" ht="15.5" x14ac:dyDescent="0.35">
      <c r="A23" s="36"/>
      <c r="C23" s="23"/>
      <c r="F23" s="30"/>
      <c r="G23" s="23"/>
      <c r="H23" s="36"/>
      <c r="J23" s="23"/>
      <c r="M23" s="34"/>
      <c r="O23" s="2"/>
      <c r="P23" s="2"/>
      <c r="Q23" s="2"/>
      <c r="R23" s="2"/>
    </row>
    <row r="24" spans="1:18" ht="14.5" thickBot="1" x14ac:dyDescent="0.35">
      <c r="A24" s="124"/>
      <c r="B24" s="125"/>
      <c r="C24" s="40"/>
      <c r="D24" s="126"/>
      <c r="E24" s="126"/>
      <c r="F24" s="41"/>
      <c r="G24" s="2"/>
      <c r="H24" s="127"/>
      <c r="I24" s="126"/>
      <c r="J24" s="40"/>
      <c r="K24" s="128"/>
      <c r="L24" s="128"/>
      <c r="M24" s="41"/>
      <c r="O24" s="2"/>
      <c r="P24" s="2"/>
      <c r="Q24" s="2"/>
      <c r="R24" s="2"/>
    </row>
    <row r="25" spans="1:18" ht="14.5" thickBot="1" x14ac:dyDescent="0.35">
      <c r="A25" s="5"/>
      <c r="B25" s="2"/>
      <c r="C25" s="2"/>
      <c r="D25" s="2"/>
      <c r="E25" s="2"/>
      <c r="F25" s="2"/>
      <c r="G25" s="2"/>
      <c r="H25" s="2"/>
      <c r="I25" s="2"/>
      <c r="J25" s="2"/>
      <c r="K25" s="7"/>
      <c r="L25" s="2"/>
      <c r="M25" s="2"/>
      <c r="O25" s="2"/>
      <c r="P25" s="2"/>
      <c r="Q25" s="2"/>
      <c r="R25" s="2"/>
    </row>
    <row r="26" spans="1:18" ht="15.5" x14ac:dyDescent="0.35">
      <c r="A26" s="25" t="s">
        <v>44</v>
      </c>
      <c r="B26" s="48"/>
      <c r="C26" s="48"/>
      <c r="D26" s="48"/>
      <c r="E26" s="48"/>
      <c r="F26" s="49"/>
      <c r="G26" s="2"/>
      <c r="H26" s="2"/>
      <c r="I26" s="2"/>
      <c r="J26" s="2"/>
      <c r="K26" s="7"/>
      <c r="L26" s="2"/>
      <c r="M26" s="2"/>
      <c r="O26" s="2"/>
      <c r="P26" s="2"/>
      <c r="Q26" s="2"/>
      <c r="R26" s="2"/>
    </row>
    <row r="27" spans="1:18" ht="15.5" x14ac:dyDescent="0.35">
      <c r="A27" s="123" t="s">
        <v>38</v>
      </c>
      <c r="B27" s="122"/>
      <c r="C27" s="9" t="s">
        <v>16</v>
      </c>
      <c r="D27" s="122" t="s">
        <v>19</v>
      </c>
      <c r="E27" s="122"/>
      <c r="F27" s="28" t="s">
        <v>14</v>
      </c>
      <c r="G27" s="2"/>
      <c r="H27" s="2"/>
      <c r="I27" s="2"/>
      <c r="J27" s="2"/>
      <c r="K27" s="7"/>
      <c r="L27" s="2"/>
      <c r="M27" s="2"/>
      <c r="O27" s="2"/>
      <c r="P27" s="2"/>
      <c r="Q27" s="2"/>
      <c r="R27" s="2"/>
    </row>
    <row r="28" spans="1:18" ht="15.5" x14ac:dyDescent="0.35">
      <c r="A28" s="62" t="s">
        <v>12</v>
      </c>
      <c r="B28" s="50"/>
      <c r="C28" s="23"/>
      <c r="D28" s="55"/>
      <c r="E28" s="50" t="s">
        <v>13</v>
      </c>
      <c r="F28" s="30"/>
      <c r="G28" s="2"/>
      <c r="H28" s="2"/>
      <c r="I28" s="2"/>
      <c r="J28" s="2"/>
      <c r="K28" s="7"/>
      <c r="L28" s="2"/>
      <c r="M28" s="2"/>
      <c r="O28" s="2"/>
      <c r="P28" s="2"/>
      <c r="Q28" s="2"/>
      <c r="R28" s="2"/>
    </row>
    <row r="29" spans="1:18" ht="15.5" x14ac:dyDescent="0.35">
      <c r="A29" s="63">
        <v>300</v>
      </c>
      <c r="B29" s="51"/>
      <c r="C29" s="23"/>
      <c r="D29" s="54"/>
      <c r="E29" s="51">
        <v>300</v>
      </c>
      <c r="F29" s="30"/>
      <c r="G29" s="2"/>
      <c r="H29" s="2"/>
      <c r="I29" s="2"/>
      <c r="J29" s="2"/>
      <c r="K29" s="7"/>
      <c r="L29" s="2"/>
      <c r="M29" s="2"/>
      <c r="O29" s="2"/>
      <c r="P29" s="2"/>
      <c r="Q29" s="2"/>
      <c r="R29" s="2"/>
    </row>
    <row r="30" spans="1:18" ht="15.5" x14ac:dyDescent="0.35">
      <c r="A30" s="36"/>
      <c r="B30" s="38"/>
      <c r="C30" s="23"/>
      <c r="E30" s="38"/>
      <c r="F30" s="30"/>
      <c r="G30" s="2"/>
      <c r="H30" s="2"/>
      <c r="I30" s="2"/>
      <c r="J30" s="2"/>
      <c r="K30" s="7"/>
      <c r="L30" s="2"/>
      <c r="M30" s="2"/>
      <c r="O30" s="2"/>
      <c r="P30" s="2"/>
      <c r="Q30" s="2"/>
      <c r="R30" s="2"/>
    </row>
    <row r="31" spans="1:18" ht="15.5" x14ac:dyDescent="0.35">
      <c r="A31" s="36"/>
      <c r="C31" s="23"/>
      <c r="F31" s="30"/>
      <c r="G31" s="2"/>
      <c r="H31" s="2"/>
      <c r="I31" s="2"/>
      <c r="J31" s="2"/>
      <c r="K31" s="7"/>
      <c r="L31" s="2"/>
      <c r="M31" s="2"/>
      <c r="O31" s="2"/>
      <c r="P31" s="2"/>
      <c r="Q31" s="2"/>
      <c r="R31" s="2"/>
    </row>
    <row r="32" spans="1:18" ht="14.5" thickBot="1" x14ac:dyDescent="0.35">
      <c r="A32" s="124"/>
      <c r="B32" s="125"/>
      <c r="C32" s="40"/>
      <c r="D32" s="126"/>
      <c r="E32" s="126"/>
      <c r="F32" s="41"/>
      <c r="G32" s="2"/>
      <c r="H32" s="2"/>
      <c r="I32" s="2"/>
      <c r="J32" s="2"/>
      <c r="K32" s="7"/>
      <c r="L32" s="2"/>
      <c r="M32" s="2"/>
      <c r="O32" s="2"/>
      <c r="P32" s="2"/>
      <c r="Q32" s="2"/>
      <c r="R32" s="2"/>
    </row>
    <row r="33" spans="1:18" ht="14" x14ac:dyDescent="0.3">
      <c r="A33" s="6"/>
      <c r="B33" s="2"/>
      <c r="C33" s="2"/>
      <c r="D33" s="2"/>
      <c r="E33" s="2"/>
      <c r="F33" s="2"/>
      <c r="G33" s="2"/>
      <c r="H33" s="2"/>
      <c r="I33" s="2"/>
      <c r="J33" s="2"/>
      <c r="K33" s="7"/>
      <c r="L33" s="2"/>
      <c r="M33" s="2"/>
      <c r="O33" s="2"/>
      <c r="P33" s="2"/>
      <c r="Q33" s="2"/>
      <c r="R33" s="2"/>
    </row>
    <row r="34" spans="1:18" ht="15.5" x14ac:dyDescent="0.35">
      <c r="A34" s="5"/>
      <c r="B34" s="2"/>
      <c r="C34" s="2"/>
      <c r="D34" s="10" t="s">
        <v>8</v>
      </c>
      <c r="E34" s="1" t="s">
        <v>19</v>
      </c>
      <c r="F34" s="2"/>
      <c r="G34" s="2"/>
      <c r="H34" s="2"/>
      <c r="I34" s="2"/>
      <c r="J34" s="2"/>
      <c r="K34" s="7"/>
      <c r="L34" s="2"/>
      <c r="M34" s="2"/>
      <c r="O34" s="2"/>
      <c r="P34" s="2"/>
      <c r="Q34" s="2"/>
      <c r="R34" s="2"/>
    </row>
    <row r="35" spans="1:18" ht="15.5" x14ac:dyDescent="0.35">
      <c r="A35" s="6"/>
      <c r="B35" s="2"/>
      <c r="C35" s="2"/>
      <c r="D35" s="14" t="s">
        <v>14</v>
      </c>
      <c r="E35" s="1" t="s">
        <v>35</v>
      </c>
      <c r="F35" s="2"/>
      <c r="G35" s="2"/>
      <c r="H35" s="2"/>
      <c r="I35" s="2"/>
      <c r="J35" s="2"/>
      <c r="K35" s="7"/>
      <c r="L35" s="2"/>
      <c r="M35" s="2"/>
      <c r="O35" s="2"/>
      <c r="P35" s="2"/>
      <c r="Q35" s="2"/>
      <c r="R35" s="2"/>
    </row>
    <row r="36" spans="1:18" ht="15.5" x14ac:dyDescent="0.35">
      <c r="A36" s="5"/>
      <c r="B36" s="2"/>
      <c r="C36" s="2"/>
      <c r="D36" s="15" t="s">
        <v>15</v>
      </c>
      <c r="E36" s="1" t="s">
        <v>1</v>
      </c>
      <c r="F36" s="2"/>
      <c r="G36" s="2"/>
      <c r="H36" s="2"/>
      <c r="I36" s="2"/>
      <c r="J36" s="2"/>
      <c r="K36" s="7"/>
      <c r="L36" s="2"/>
      <c r="M36" s="2"/>
      <c r="O36" s="2"/>
      <c r="P36" s="2"/>
      <c r="Q36" s="2"/>
      <c r="R36" s="2"/>
    </row>
    <row r="37" spans="1:18" ht="15.5" x14ac:dyDescent="0.35">
      <c r="A37" s="6"/>
      <c r="B37" s="2"/>
      <c r="C37" s="2"/>
      <c r="D37" s="15" t="s">
        <v>16</v>
      </c>
      <c r="E37" s="1" t="s">
        <v>7</v>
      </c>
      <c r="F37" s="2"/>
      <c r="G37" s="2"/>
      <c r="H37" s="2"/>
      <c r="I37" s="2"/>
      <c r="J37" s="2"/>
      <c r="K37" s="7"/>
      <c r="L37" s="2"/>
      <c r="M37" s="2"/>
      <c r="N37" s="2"/>
      <c r="O37" s="2"/>
      <c r="P37" s="2"/>
      <c r="Q37" s="2"/>
      <c r="R37" s="2"/>
    </row>
    <row r="38" spans="1:18" ht="15.5" x14ac:dyDescent="0.35">
      <c r="A38" s="5"/>
      <c r="B38" s="2"/>
      <c r="C38" s="2"/>
      <c r="D38" s="15" t="s">
        <v>18</v>
      </c>
      <c r="E38" s="1" t="s">
        <v>36</v>
      </c>
      <c r="F38" s="2"/>
      <c r="G38" s="2"/>
      <c r="H38" s="2"/>
      <c r="I38" s="2"/>
      <c r="J38" s="2"/>
      <c r="K38" s="7"/>
      <c r="L38" s="2"/>
      <c r="M38" s="2"/>
      <c r="N38" s="2"/>
      <c r="O38" s="2"/>
      <c r="P38" s="2"/>
      <c r="Q38" s="2"/>
      <c r="R38" s="2"/>
    </row>
    <row r="39" spans="1:18" ht="15.5" x14ac:dyDescent="0.35">
      <c r="A39" s="6"/>
      <c r="B39" s="2"/>
      <c r="C39" s="2"/>
      <c r="D39" s="15" t="s">
        <v>17</v>
      </c>
      <c r="E39" s="1" t="s">
        <v>37</v>
      </c>
      <c r="F39" s="2"/>
      <c r="G39" s="2"/>
      <c r="H39" s="2"/>
      <c r="I39" s="2"/>
      <c r="J39" s="2"/>
      <c r="K39" s="7"/>
      <c r="L39" s="2"/>
      <c r="M39" s="2"/>
      <c r="N39" s="2"/>
      <c r="O39" s="2"/>
      <c r="P39" s="2"/>
      <c r="Q39" s="2"/>
      <c r="R39" s="2"/>
    </row>
    <row r="40" spans="1:18" ht="15.5" x14ac:dyDescent="0.35">
      <c r="A40" s="5"/>
      <c r="B40" s="2"/>
      <c r="C40" s="2"/>
      <c r="D40" s="16"/>
      <c r="E40" s="1" t="s">
        <v>38</v>
      </c>
      <c r="F40" s="2"/>
      <c r="G40" s="2"/>
      <c r="H40" s="2"/>
      <c r="I40" s="2"/>
      <c r="J40" s="2"/>
      <c r="K40" s="7"/>
      <c r="L40" s="2"/>
      <c r="M40" s="2"/>
    </row>
    <row r="41" spans="1:18" ht="15.5" x14ac:dyDescent="0.35">
      <c r="D41" s="13" t="s">
        <v>9</v>
      </c>
      <c r="E41" s="1" t="s">
        <v>6</v>
      </c>
    </row>
    <row r="42" spans="1:18" ht="15.5" x14ac:dyDescent="0.35">
      <c r="D42" s="13" t="s">
        <v>10</v>
      </c>
      <c r="E42" s="1" t="s">
        <v>39</v>
      </c>
    </row>
    <row r="43" spans="1:18" ht="15.5" x14ac:dyDescent="0.35">
      <c r="D43" s="17"/>
      <c r="E43" s="1" t="s">
        <v>40</v>
      </c>
    </row>
    <row r="44" spans="1:18" ht="14" x14ac:dyDescent="0.3">
      <c r="D44" s="18" t="s">
        <v>11</v>
      </c>
    </row>
    <row r="45" spans="1:18" ht="14" x14ac:dyDescent="0.3">
      <c r="D45" s="18"/>
    </row>
    <row r="46" spans="1:18" ht="14" x14ac:dyDescent="0.3">
      <c r="D46" s="18" t="s">
        <v>12</v>
      </c>
    </row>
    <row r="47" spans="1:18" ht="14" x14ac:dyDescent="0.3">
      <c r="D47" s="18" t="s">
        <v>13</v>
      </c>
    </row>
    <row r="48" spans="1:18" x14ac:dyDescent="0.25">
      <c r="D48" s="16"/>
    </row>
    <row r="49" spans="4:4" ht="14" x14ac:dyDescent="0.3">
      <c r="D49" s="19" t="s">
        <v>3</v>
      </c>
    </row>
    <row r="50" spans="4:4" ht="14" x14ac:dyDescent="0.3">
      <c r="D50" s="19" t="s">
        <v>4</v>
      </c>
    </row>
  </sheetData>
  <mergeCells count="20">
    <mergeCell ref="A24:B24"/>
    <mergeCell ref="D24:E24"/>
    <mergeCell ref="H16:I16"/>
    <mergeCell ref="H11:I11"/>
    <mergeCell ref="K11:L11"/>
    <mergeCell ref="A19:B19"/>
    <mergeCell ref="D19:E19"/>
    <mergeCell ref="A32:B32"/>
    <mergeCell ref="D32:E32"/>
    <mergeCell ref="H24:I24"/>
    <mergeCell ref="K24:L24"/>
    <mergeCell ref="A11:B11"/>
    <mergeCell ref="D11:E11"/>
    <mergeCell ref="K16:L16"/>
    <mergeCell ref="H19:I19"/>
    <mergeCell ref="K19:L19"/>
    <mergeCell ref="A16:B16"/>
    <mergeCell ref="D16:E16"/>
    <mergeCell ref="A27:B27"/>
    <mergeCell ref="D27:E27"/>
  </mergeCells>
  <phoneticPr fontId="2" type="noConversion"/>
  <conditionalFormatting sqref="C11 F11:G11 J11 M11 M19 J19 F19:G19 C19 F27 C27">
    <cfRule type="cellIs" dxfId="9" priority="1" stopIfTrue="1" operator="equal">
      <formula>$D$34</formula>
    </cfRule>
    <cfRule type="cellIs" dxfId="8" priority="2" stopIfTrue="1" operator="notEqual">
      <formula>$D$34</formula>
    </cfRule>
  </conditionalFormatting>
  <dataValidations count="5">
    <dataValidation type="list" allowBlank="1" showInputMessage="1" showErrorMessage="1" sqref="G11 G19" xr:uid="{00000000-0002-0000-0100-000000000000}">
      <formula1>$D$35:$D$39</formula1>
    </dataValidation>
    <dataValidation type="list" allowBlank="1" showInputMessage="1" showErrorMessage="1" sqref="K15:L15 H15:I15" xr:uid="{00000000-0002-0000-0100-000001000000}">
      <formula1>$D$46:$D$47</formula1>
    </dataValidation>
    <dataValidation type="list" allowBlank="1" showInputMessage="1" showErrorMessage="1" sqref="A12:B12 D12:E12 H12:I12 K12:L12 A20:B20 D20:E20 H20:I20 K20:L20 A28:B28 D28:E28" xr:uid="{00000000-0002-0000-0100-000002000000}">
      <formula1>$D$46:$D$48</formula1>
    </dataValidation>
    <dataValidation type="list" allowBlank="1" showInputMessage="1" showErrorMessage="1" sqref="A11:B11 D11:E11 H11:I11 K11:L11 A19:B19 D19:E19 H19:I19 K19:L19 A27:B27 D27:E27" xr:uid="{00000000-0002-0000-0100-000003000000}">
      <formula1>$E$34:$E$44</formula1>
    </dataValidation>
    <dataValidation type="list" allowBlank="1" showInputMessage="1" showErrorMessage="1" sqref="C11 F11 J11 M11 C19 F19 J19 M19 C27 F27" xr:uid="{00000000-0002-0000-0100-000004000000}">
      <formula1>$D$34:$D$39</formula1>
    </dataValidation>
  </dataValidations>
  <printOptions horizontalCentered="1"/>
  <pageMargins left="0.1" right="0.19" top="0.7" bottom="0.65" header="0.5" footer="0.5"/>
  <pageSetup orientation="landscape" horizont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58"/>
  <sheetViews>
    <sheetView tabSelected="1" workbookViewId="0">
      <selection activeCell="E1" sqref="E1"/>
    </sheetView>
  </sheetViews>
  <sheetFormatPr defaultColWidth="9.1796875" defaultRowHeight="12.5" x14ac:dyDescent="0.25"/>
  <cols>
    <col min="1" max="1" width="13.81640625" customWidth="1"/>
    <col min="2" max="2" width="14.1796875" customWidth="1"/>
    <col min="3" max="3" width="6.26953125" customWidth="1"/>
    <col min="4" max="4" width="11.7265625" customWidth="1"/>
    <col min="5" max="5" width="14.7265625" customWidth="1"/>
    <col min="6" max="6" width="6.26953125" customWidth="1"/>
    <col min="7" max="7" width="5.7265625" customWidth="1"/>
    <col min="8" max="8" width="11.7265625" customWidth="1"/>
    <col min="9" max="9" width="14.7265625" customWidth="1"/>
    <col min="10" max="10" width="5.7265625" customWidth="1"/>
    <col min="11" max="11" width="11.7265625" customWidth="1"/>
    <col min="12" max="12" width="14.81640625" customWidth="1"/>
    <col min="13" max="13" width="5.7265625" customWidth="1"/>
    <col min="14" max="17" width="17.7265625" customWidth="1"/>
    <col min="18" max="18" width="17.453125" customWidth="1"/>
  </cols>
  <sheetData>
    <row r="1" spans="1:18" ht="15.5" x14ac:dyDescent="0.35">
      <c r="A1" s="1" t="str">
        <f>'own 2-3 Key'!A1</f>
        <v>on your own 2-3</v>
      </c>
      <c r="B1" s="1"/>
      <c r="C1" s="1"/>
      <c r="D1" s="1" t="s">
        <v>0</v>
      </c>
      <c r="E1" s="20"/>
      <c r="F1" s="1"/>
      <c r="G1" s="1"/>
      <c r="H1" s="1"/>
      <c r="I1" s="1"/>
      <c r="J1" s="1"/>
      <c r="K1" s="1"/>
      <c r="L1" s="1"/>
      <c r="M1" s="1"/>
      <c r="N1" s="13"/>
      <c r="O1" s="1"/>
      <c r="P1" s="1"/>
      <c r="Q1" s="1"/>
      <c r="R1" s="1"/>
    </row>
    <row r="2" spans="1:18" ht="15.5" x14ac:dyDescent="0.35">
      <c r="A2" s="1" t="s">
        <v>52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3"/>
      <c r="O2" s="1"/>
      <c r="P2" s="1"/>
      <c r="Q2" s="1"/>
      <c r="R2" s="1"/>
    </row>
    <row r="3" spans="1:18" ht="15.5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3"/>
      <c r="O3" s="1"/>
      <c r="P3" s="1"/>
      <c r="Q3" s="1"/>
      <c r="R3" s="1"/>
    </row>
    <row r="4" spans="1:18" ht="15.5" x14ac:dyDescent="0.35">
      <c r="A4" s="1" t="s">
        <v>21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3"/>
      <c r="O4" s="1"/>
      <c r="P4" s="1"/>
      <c r="Q4" s="1"/>
      <c r="R4" s="1"/>
    </row>
    <row r="5" spans="1:18" ht="15.5" x14ac:dyDescent="0.35">
      <c r="A5" s="37" t="s">
        <v>29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3"/>
      <c r="O5" s="1"/>
      <c r="P5" s="1"/>
      <c r="Q5" s="1"/>
      <c r="R5" s="1"/>
    </row>
    <row r="6" spans="1:18" ht="15.5" x14ac:dyDescent="0.35">
      <c r="A6" s="37" t="s">
        <v>30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3"/>
      <c r="O6" s="1"/>
      <c r="P6" s="1"/>
      <c r="Q6" s="1"/>
      <c r="R6" s="1"/>
    </row>
    <row r="7" spans="1:18" ht="15.5" x14ac:dyDescent="0.35">
      <c r="A7" s="37" t="s">
        <v>22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3"/>
      <c r="O7" s="1"/>
      <c r="P7" s="1"/>
      <c r="Q7" s="1"/>
      <c r="R7" s="1"/>
    </row>
    <row r="8" spans="1:18" ht="15.5" x14ac:dyDescent="0.35">
      <c r="A8" s="37" t="s">
        <v>28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3"/>
      <c r="O8" s="1"/>
      <c r="P8" s="1"/>
      <c r="Q8" s="1"/>
      <c r="R8" s="1"/>
    </row>
    <row r="9" spans="1:18" ht="16" thickBot="1" x14ac:dyDescent="0.4">
      <c r="A9" s="37" t="s">
        <v>51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3"/>
      <c r="O9" s="1"/>
      <c r="P9" s="1"/>
      <c r="Q9" s="1"/>
      <c r="R9" s="1"/>
    </row>
    <row r="10" spans="1:18" ht="15.5" x14ac:dyDescent="0.35">
      <c r="A10" s="25" t="s">
        <v>46</v>
      </c>
      <c r="B10" s="26"/>
      <c r="C10" s="26"/>
      <c r="D10" s="26"/>
      <c r="E10" s="26"/>
      <c r="F10" s="27"/>
      <c r="G10" s="1"/>
      <c r="H10" s="25" t="s">
        <v>50</v>
      </c>
      <c r="I10" s="26"/>
      <c r="J10" s="26"/>
      <c r="K10" s="26"/>
      <c r="L10" s="26"/>
      <c r="M10" s="27"/>
      <c r="N10" s="13"/>
      <c r="O10" s="1"/>
      <c r="P10" s="1"/>
      <c r="Q10" s="1"/>
      <c r="R10" s="1"/>
    </row>
    <row r="11" spans="1:18" ht="15.5" x14ac:dyDescent="0.35">
      <c r="A11" s="134" t="s">
        <v>19</v>
      </c>
      <c r="B11" s="135"/>
      <c r="C11" s="138" t="s">
        <v>14</v>
      </c>
      <c r="D11" s="135" t="s">
        <v>6</v>
      </c>
      <c r="E11" s="135"/>
      <c r="F11" s="141" t="s">
        <v>18</v>
      </c>
      <c r="G11" s="9"/>
      <c r="H11" s="134" t="s">
        <v>23</v>
      </c>
      <c r="I11" s="135"/>
      <c r="J11" s="138" t="s">
        <v>14</v>
      </c>
      <c r="K11" s="135" t="s">
        <v>6</v>
      </c>
      <c r="L11" s="135"/>
      <c r="M11" s="141" t="s">
        <v>18</v>
      </c>
      <c r="O11" s="3"/>
      <c r="P11" s="8"/>
      <c r="Q11" s="8"/>
      <c r="R11" s="3"/>
    </row>
    <row r="12" spans="1:18" ht="15.5" x14ac:dyDescent="0.35">
      <c r="A12" s="136" t="s">
        <v>12</v>
      </c>
      <c r="B12" s="64"/>
      <c r="C12" s="21"/>
      <c r="D12" s="139"/>
      <c r="E12" s="64" t="s">
        <v>12</v>
      </c>
      <c r="F12" s="29"/>
      <c r="G12" s="21"/>
      <c r="H12" s="136" t="s">
        <v>12</v>
      </c>
      <c r="I12" s="64"/>
      <c r="J12" s="22"/>
      <c r="K12" s="143"/>
      <c r="L12" s="64" t="s">
        <v>12</v>
      </c>
      <c r="M12" s="39"/>
      <c r="O12" s="4"/>
      <c r="P12" s="8"/>
      <c r="Q12" s="8"/>
      <c r="R12" s="4"/>
    </row>
    <row r="13" spans="1:18" ht="15.5" x14ac:dyDescent="0.35">
      <c r="A13" s="137">
        <v>1500</v>
      </c>
      <c r="B13" s="64"/>
      <c r="C13" s="64"/>
      <c r="D13" s="140"/>
      <c r="E13" s="64">
        <v>1500</v>
      </c>
      <c r="F13" s="65"/>
      <c r="G13" s="64"/>
      <c r="H13" s="142">
        <v>500</v>
      </c>
      <c r="I13" s="64"/>
      <c r="J13" s="64"/>
      <c r="K13" s="144"/>
      <c r="L13" s="64">
        <v>500</v>
      </c>
      <c r="M13" s="66"/>
      <c r="O13" s="67"/>
      <c r="P13" s="67"/>
      <c r="Q13" s="67"/>
      <c r="R13" s="67"/>
    </row>
    <row r="14" spans="1:18" ht="15.5" x14ac:dyDescent="0.35">
      <c r="A14" s="36"/>
      <c r="B14" s="38"/>
      <c r="C14" s="64"/>
      <c r="E14" s="38"/>
      <c r="F14" s="65"/>
      <c r="G14" s="64"/>
      <c r="H14" s="36"/>
      <c r="I14" s="38"/>
      <c r="J14" s="64"/>
      <c r="L14" s="38"/>
      <c r="M14" s="66"/>
      <c r="O14" s="67"/>
      <c r="P14" s="67"/>
      <c r="Q14" s="67"/>
      <c r="R14" s="67"/>
    </row>
    <row r="15" spans="1:18" ht="16" thickBot="1" x14ac:dyDescent="0.4">
      <c r="A15" s="68"/>
      <c r="B15" s="69"/>
      <c r="C15" s="69"/>
      <c r="D15" s="70"/>
      <c r="E15" s="69"/>
      <c r="F15" s="71"/>
      <c r="G15" s="64"/>
      <c r="H15" s="68"/>
      <c r="I15" s="69"/>
      <c r="J15" s="69"/>
      <c r="K15" s="70"/>
      <c r="L15" s="69"/>
      <c r="M15" s="71"/>
      <c r="O15" s="67"/>
      <c r="P15" s="67"/>
      <c r="Q15" s="67"/>
      <c r="R15" s="67"/>
    </row>
    <row r="16" spans="1:18" ht="16" thickBot="1" x14ac:dyDescent="0.4">
      <c r="A16" s="120" t="str">
        <f>IF(AND(A11='own 2-3 Key'!A11:B11,'own 2-3'!C11='own 2-3 Key'!C11,'own 2-3'!A12='own 2-3 Key'!A12,'own 2-3'!B12='own 2-3 Key'!B12,'own 2-3'!A13='own 2-3 Key'!A13),'own 2-3'!D56,'own 2-3'!D57)</f>
        <v>OK</v>
      </c>
      <c r="B16" s="121"/>
      <c r="C16" s="69"/>
      <c r="D16" s="121" t="str">
        <f>IF(AND(D11='own 2-3 Key'!D11:E11,'own 2-3'!F11='own 2-3 Key'!F11,'own 2-3'!D12='own 2-3 Key'!D12,'own 2-3'!E12='own 2-3 Key'!E12,'own 2-3'!D13='own 2-3 Key'!D13,'own 2-3'!E13='own 2-3 Key'!E13),'own 2-3 Key'!$D$49,'own 2-3 Key'!$D$50)</f>
        <v>OK</v>
      </c>
      <c r="E16" s="121"/>
      <c r="F16" s="71"/>
      <c r="G16" s="64"/>
      <c r="H16" s="120" t="str">
        <f>IF(AND(H11='own 2-3 Key'!H11:I11,'own 2-3'!J11='own 2-3 Key'!J11,'own 2-3'!H12='own 2-3 Key'!H12,'own 2-3'!I12='own 2-3 Key'!I12,'own 2-3'!H13='own 2-3 Key'!H13,'own 2-3'!I13='own 2-3 Key'!I13),'own 2-3 Key'!$D$49,'own 2-3 Key'!$D$50)</f>
        <v>OK</v>
      </c>
      <c r="I16" s="121"/>
      <c r="J16" s="69"/>
      <c r="K16" s="121" t="str">
        <f>IF(AND(K11='own 2-3 Key'!K11:L11,'own 2-3'!M11='own 2-3 Key'!M11,'own 2-3'!K12='own 2-3 Key'!K12,'own 2-3'!L12='own 2-3 Key'!L12,'own 2-3'!K13='own 2-3 Key'!K13,'own 2-3'!L13='own 2-3 Key'!L13),'own 2-3 Key'!$D$49,'own 2-3 Key'!$D$50)</f>
        <v>OK</v>
      </c>
      <c r="L16" s="121"/>
      <c r="M16" s="72"/>
      <c r="O16" s="67"/>
      <c r="P16" s="67"/>
      <c r="Q16" s="67"/>
      <c r="R16" s="67"/>
    </row>
    <row r="17" spans="1:18" ht="16" thickBot="1" x14ac:dyDescent="0.4">
      <c r="A17" s="21"/>
      <c r="B17" s="64"/>
      <c r="C17" s="64"/>
      <c r="D17" s="64"/>
      <c r="E17" s="64"/>
      <c r="F17" s="64"/>
      <c r="G17" s="64"/>
      <c r="H17" s="64"/>
      <c r="I17" s="64"/>
      <c r="J17" s="64"/>
      <c r="K17" s="73"/>
      <c r="L17" s="64"/>
      <c r="M17" s="74"/>
      <c r="O17" s="67"/>
      <c r="P17" s="67"/>
      <c r="Q17" s="67"/>
      <c r="R17" s="67"/>
    </row>
    <row r="18" spans="1:18" ht="15.5" x14ac:dyDescent="0.35">
      <c r="A18" s="42" t="s">
        <v>47</v>
      </c>
      <c r="B18" s="75"/>
      <c r="C18" s="75"/>
      <c r="D18" s="75"/>
      <c r="E18" s="75"/>
      <c r="F18" s="76"/>
      <c r="G18" s="64"/>
      <c r="H18" s="45" t="s">
        <v>48</v>
      </c>
      <c r="I18" s="75"/>
      <c r="J18" s="75"/>
      <c r="K18" s="78"/>
      <c r="L18" s="75"/>
      <c r="M18" s="79"/>
      <c r="O18" s="67"/>
      <c r="P18" s="67"/>
      <c r="Q18" s="67"/>
      <c r="R18" s="67"/>
    </row>
    <row r="19" spans="1:18" ht="15.5" x14ac:dyDescent="0.35">
      <c r="A19" s="134" t="s">
        <v>27</v>
      </c>
      <c r="B19" s="135"/>
      <c r="C19" s="138" t="s">
        <v>17</v>
      </c>
      <c r="D19" s="135" t="s">
        <v>19</v>
      </c>
      <c r="E19" s="135"/>
      <c r="F19" s="141" t="s">
        <v>14</v>
      </c>
      <c r="G19" s="9"/>
      <c r="H19" s="134" t="s">
        <v>19</v>
      </c>
      <c r="I19" s="135"/>
      <c r="J19" s="138" t="s">
        <v>14</v>
      </c>
      <c r="K19" s="135" t="s">
        <v>23</v>
      </c>
      <c r="L19" s="135"/>
      <c r="M19" s="141" t="s">
        <v>14</v>
      </c>
      <c r="O19" s="67"/>
      <c r="P19" s="67"/>
      <c r="Q19" s="67"/>
      <c r="R19" s="67"/>
    </row>
    <row r="20" spans="1:18" ht="15.5" x14ac:dyDescent="0.35">
      <c r="A20" s="145" t="s">
        <v>12</v>
      </c>
      <c r="B20" s="146"/>
      <c r="C20" s="64"/>
      <c r="D20" s="149"/>
      <c r="E20" s="146" t="s">
        <v>13</v>
      </c>
      <c r="F20" s="65"/>
      <c r="G20" s="64"/>
      <c r="H20" s="145" t="s">
        <v>12</v>
      </c>
      <c r="I20" s="146"/>
      <c r="J20" s="64"/>
      <c r="K20" s="149"/>
      <c r="L20" s="146" t="s">
        <v>13</v>
      </c>
      <c r="M20" s="66"/>
      <c r="O20" s="67"/>
      <c r="P20" s="67"/>
      <c r="Q20" s="67"/>
      <c r="R20" s="67"/>
    </row>
    <row r="21" spans="1:18" ht="15.5" x14ac:dyDescent="0.35">
      <c r="A21" s="147">
        <v>450</v>
      </c>
      <c r="B21" s="148"/>
      <c r="C21" s="64"/>
      <c r="D21" s="150"/>
      <c r="E21" s="148">
        <v>450</v>
      </c>
      <c r="F21" s="65"/>
      <c r="G21" s="64"/>
      <c r="H21" s="147">
        <v>250</v>
      </c>
      <c r="I21" s="148"/>
      <c r="J21" s="64"/>
      <c r="K21" s="150"/>
      <c r="L21" s="148">
        <v>250</v>
      </c>
      <c r="M21" s="66"/>
      <c r="O21" s="67"/>
      <c r="P21" s="67"/>
      <c r="Q21" s="67"/>
      <c r="R21" s="67"/>
    </row>
    <row r="22" spans="1:18" ht="15.5" x14ac:dyDescent="0.35">
      <c r="A22" s="36"/>
      <c r="B22" s="38"/>
      <c r="C22" s="64"/>
      <c r="E22" s="38"/>
      <c r="F22" s="65"/>
      <c r="G22" s="64"/>
      <c r="H22" s="36"/>
      <c r="I22" s="38"/>
      <c r="J22" s="64"/>
      <c r="L22" s="38"/>
      <c r="M22" s="66"/>
      <c r="O22" s="67"/>
      <c r="P22" s="67"/>
      <c r="Q22" s="67"/>
      <c r="R22" s="67"/>
    </row>
    <row r="23" spans="1:18" ht="16" thickBot="1" x14ac:dyDescent="0.4">
      <c r="A23" s="68"/>
      <c r="B23" s="69"/>
      <c r="C23" s="69"/>
      <c r="D23" s="70"/>
      <c r="E23" s="69"/>
      <c r="F23" s="71"/>
      <c r="G23" s="64"/>
      <c r="H23" s="68"/>
      <c r="I23" s="69"/>
      <c r="J23" s="69"/>
      <c r="K23" s="70"/>
      <c r="L23" s="69"/>
      <c r="M23" s="71"/>
      <c r="O23" s="67"/>
      <c r="P23" s="67"/>
      <c r="Q23" s="67"/>
      <c r="R23" s="67"/>
    </row>
    <row r="24" spans="1:18" ht="16" thickBot="1" x14ac:dyDescent="0.4">
      <c r="A24" s="120" t="str">
        <f>IF(AND(A19='own 2-3 Key'!A19:B19,'own 2-3'!C19='own 2-3 Key'!C19,'own 2-3'!A20='own 2-3 Key'!A20,'own 2-3'!B20='own 2-3 Key'!B20,'own 2-3'!A21='own 2-3 Key'!A21,'own 2-3'!B21='own 2-3 Key'!B21),'own 2-3 Key'!$D$49,'own 2-3 Key'!$D$50)</f>
        <v>OK</v>
      </c>
      <c r="B24" s="121"/>
      <c r="C24" s="80"/>
      <c r="D24" s="121" t="str">
        <f>IF(AND(D19='own 2-3 Key'!D19:E19,'own 2-3'!F19='own 2-3 Key'!F19,'own 2-3'!D20='own 2-3 Key'!D20,'own 2-3'!E20='own 2-3 Key'!E20,'own 2-3'!D21='own 2-3 Key'!D21,'own 2-3'!E21='own 2-3 Key'!E21),'own 2-3 Key'!$D$49,'own 2-3 Key'!$D$50)</f>
        <v>OK</v>
      </c>
      <c r="E24" s="121"/>
      <c r="F24" s="81"/>
      <c r="G24" s="67"/>
      <c r="H24" s="120" t="str">
        <f>IF(AND(H19='own 2-3 Key'!H19:I19,'own 2-3'!J19='own 2-3 Key'!J19,'own 2-3'!H20='own 2-3 Key'!H20,'own 2-3'!I20='own 2-3 Key'!I20,'own 2-3'!H21='own 2-3 Key'!H21,'own 2-3'!I21='own 2-3 Key'!I21),'own 2-3 Key'!$D$49,'own 2-3 Key'!$D$50)</f>
        <v>OK</v>
      </c>
      <c r="I24" s="121"/>
      <c r="J24" s="80"/>
      <c r="K24" s="121" t="str">
        <f>IF(AND(K19='own 2-3 Key'!K19:L19,'own 2-3'!M19='own 2-3 Key'!M19,'own 2-3'!K20='own 2-3 Key'!K20,'own 2-3'!L20='own 2-3 Key'!L20,'own 2-3'!K21='own 2-3 Key'!K21,'own 2-3'!L21='own 2-3 Key'!L21),'own 2-3 Key'!$D$49,'own 2-3 Key'!$D$50)</f>
        <v>OK</v>
      </c>
      <c r="L24" s="121"/>
      <c r="M24" s="81"/>
      <c r="O24" s="67"/>
      <c r="P24" s="67"/>
      <c r="Q24" s="67"/>
      <c r="R24" s="67"/>
    </row>
    <row r="25" spans="1:18" ht="14.5" thickBot="1" x14ac:dyDescent="0.35">
      <c r="A25" s="5"/>
      <c r="B25" s="67"/>
      <c r="C25" s="67"/>
      <c r="D25" s="67"/>
      <c r="E25" s="67"/>
      <c r="F25" s="67"/>
      <c r="G25" s="67"/>
      <c r="H25" s="67"/>
      <c r="I25" s="67"/>
      <c r="J25" s="67"/>
      <c r="K25" s="82"/>
      <c r="L25" s="67"/>
      <c r="M25" s="67"/>
      <c r="O25" s="67"/>
      <c r="P25" s="67"/>
      <c r="Q25" s="67"/>
      <c r="R25" s="67"/>
    </row>
    <row r="26" spans="1:18" ht="15.5" x14ac:dyDescent="0.35">
      <c r="A26" s="25" t="s">
        <v>49</v>
      </c>
      <c r="B26" s="83"/>
      <c r="C26" s="83"/>
      <c r="D26" s="83"/>
      <c r="E26" s="83"/>
      <c r="F26" s="84"/>
      <c r="G26" s="67"/>
      <c r="H26" s="67"/>
      <c r="I26" s="67"/>
      <c r="J26" s="67"/>
      <c r="K26" s="82"/>
      <c r="L26" s="67"/>
      <c r="M26" s="67"/>
      <c r="O26" s="67"/>
      <c r="P26" s="67"/>
      <c r="Q26" s="67"/>
      <c r="R26" s="67"/>
    </row>
    <row r="27" spans="1:18" ht="15.5" x14ac:dyDescent="0.35">
      <c r="A27" s="134" t="s">
        <v>25</v>
      </c>
      <c r="B27" s="135"/>
      <c r="C27" s="138" t="s">
        <v>16</v>
      </c>
      <c r="D27" s="135" t="s">
        <v>19</v>
      </c>
      <c r="E27" s="135"/>
      <c r="F27" s="141" t="s">
        <v>14</v>
      </c>
      <c r="G27" s="67"/>
      <c r="H27" s="67"/>
      <c r="I27" s="67"/>
      <c r="J27" s="67"/>
      <c r="K27" s="82"/>
      <c r="L27" s="67"/>
      <c r="M27" s="67"/>
      <c r="O27" s="67"/>
      <c r="P27" s="67"/>
      <c r="Q27" s="67"/>
      <c r="R27" s="67"/>
    </row>
    <row r="28" spans="1:18" ht="15.5" x14ac:dyDescent="0.35">
      <c r="A28" s="145" t="s">
        <v>12</v>
      </c>
      <c r="B28" s="146"/>
      <c r="C28" s="64"/>
      <c r="D28" s="149"/>
      <c r="E28" s="146" t="s">
        <v>13</v>
      </c>
      <c r="F28" s="65"/>
      <c r="G28" s="67"/>
      <c r="H28" s="67"/>
      <c r="I28" s="67"/>
      <c r="J28" s="67"/>
      <c r="K28" s="82"/>
      <c r="L28" s="67"/>
      <c r="M28" s="67"/>
      <c r="O28" s="67"/>
      <c r="P28" s="67"/>
      <c r="Q28" s="67"/>
      <c r="R28" s="67"/>
    </row>
    <row r="29" spans="1:18" ht="15.5" x14ac:dyDescent="0.35">
      <c r="A29" s="147">
        <v>700</v>
      </c>
      <c r="B29" s="148"/>
      <c r="C29" s="64"/>
      <c r="D29" s="150"/>
      <c r="E29" s="148">
        <v>700</v>
      </c>
      <c r="F29" s="65"/>
      <c r="G29" s="67"/>
      <c r="H29" s="67"/>
      <c r="I29" s="67"/>
      <c r="J29" s="67"/>
      <c r="K29" s="82"/>
      <c r="L29" s="67"/>
      <c r="M29" s="67"/>
      <c r="O29" s="67"/>
      <c r="P29" s="67"/>
      <c r="Q29" s="67"/>
      <c r="R29" s="67"/>
    </row>
    <row r="30" spans="1:18" ht="15.5" x14ac:dyDescent="0.35">
      <c r="A30" s="36"/>
      <c r="B30" s="38"/>
      <c r="C30" s="64"/>
      <c r="E30" s="38"/>
      <c r="F30" s="65"/>
      <c r="G30" s="67"/>
      <c r="H30" s="67"/>
      <c r="I30" s="67"/>
      <c r="J30" s="67"/>
      <c r="K30" s="82"/>
      <c r="L30" s="67"/>
      <c r="M30" s="67"/>
      <c r="O30" s="67"/>
      <c r="P30" s="67"/>
      <c r="Q30" s="67"/>
      <c r="R30" s="67"/>
    </row>
    <row r="31" spans="1:18" ht="16" thickBot="1" x14ac:dyDescent="0.4">
      <c r="A31" s="68"/>
      <c r="B31" s="69"/>
      <c r="C31" s="69"/>
      <c r="D31" s="70"/>
      <c r="E31" s="69"/>
      <c r="F31" s="71"/>
      <c r="G31" s="67"/>
      <c r="H31" s="67"/>
      <c r="I31" s="67"/>
      <c r="J31" s="67"/>
      <c r="K31" s="82"/>
      <c r="L31" s="67"/>
      <c r="M31" s="67"/>
      <c r="O31" s="67"/>
      <c r="P31" s="67"/>
      <c r="Q31" s="67"/>
      <c r="R31" s="67"/>
    </row>
    <row r="32" spans="1:18" ht="16" thickBot="1" x14ac:dyDescent="0.4">
      <c r="A32" s="120" t="str">
        <f>IF(AND(A27='own 2-3 Key'!A27:B27,'own 2-3'!C27='own 2-3 Key'!C27,'own 2-3'!A28='own 2-3 Key'!A28,'own 2-3'!B28='own 2-3 Key'!B28,'own 2-3'!A29='own 2-3 Key'!A29,'own 2-3'!B29='own 2-3 Key'!B29),'own 2-3 Key'!$D$49,'own 2-3 Key'!$D$50)</f>
        <v>OK</v>
      </c>
      <c r="B32" s="121"/>
      <c r="C32" s="80"/>
      <c r="D32" s="121" t="str">
        <f>IF(AND(D27='own 2-3 Key'!D27:E27,'own 2-3'!F27='own 2-3 Key'!F27,'own 2-3'!D28='own 2-3 Key'!D28,'own 2-3'!E28='own 2-3 Key'!E28,'own 2-3'!D29='own 2-3 Key'!D29,'own 2-3'!E29='own 2-3 Key'!E29),'own 2-3 Key'!$D$49,'own 2-3 Key'!$D$50)</f>
        <v>OK</v>
      </c>
      <c r="E32" s="121"/>
      <c r="F32" s="81"/>
      <c r="G32" s="67"/>
      <c r="H32" s="67"/>
      <c r="I32" s="67"/>
      <c r="J32" s="67"/>
      <c r="K32" s="82"/>
      <c r="L32" s="67"/>
      <c r="M32" s="67"/>
      <c r="O32" s="67"/>
      <c r="P32" s="67"/>
      <c r="Q32" s="67"/>
      <c r="R32" s="67"/>
    </row>
    <row r="33" spans="1:18" ht="14.5" thickBot="1" x14ac:dyDescent="0.35">
      <c r="A33" s="6"/>
      <c r="B33" s="67"/>
      <c r="C33" s="67"/>
      <c r="D33" s="67"/>
      <c r="E33" s="67"/>
      <c r="F33" s="67"/>
      <c r="G33" s="67"/>
      <c r="H33" s="67"/>
      <c r="I33" s="67"/>
      <c r="J33" s="67"/>
      <c r="K33" s="82"/>
      <c r="L33" s="67"/>
      <c r="M33" s="67"/>
      <c r="O33" s="67"/>
      <c r="P33" s="67"/>
      <c r="Q33" s="67"/>
      <c r="R33" s="67"/>
    </row>
    <row r="34" spans="1:18" ht="14.5" thickBot="1" x14ac:dyDescent="0.35">
      <c r="A34" s="85" t="s">
        <v>5</v>
      </c>
      <c r="B34" s="86"/>
      <c r="C34" s="86"/>
      <c r="D34" s="87"/>
      <c r="E34" s="88"/>
      <c r="F34" s="67"/>
      <c r="G34" s="67"/>
      <c r="H34" s="67"/>
      <c r="I34" s="67"/>
      <c r="J34" s="82"/>
      <c r="K34" s="82"/>
      <c r="L34" s="67"/>
      <c r="M34" s="67"/>
      <c r="O34" s="67"/>
      <c r="P34" s="67"/>
      <c r="Q34" s="67"/>
      <c r="R34" s="67"/>
    </row>
    <row r="35" spans="1:18" ht="14" x14ac:dyDescent="0.3">
      <c r="A35" s="6"/>
      <c r="B35" s="67"/>
      <c r="C35" s="67"/>
      <c r="E35" s="67"/>
      <c r="F35" s="67"/>
      <c r="G35" s="67"/>
      <c r="H35" s="67"/>
      <c r="I35" s="67"/>
      <c r="J35" s="82"/>
      <c r="K35" s="82"/>
      <c r="L35" s="67"/>
      <c r="M35" s="67"/>
      <c r="O35" s="67"/>
      <c r="P35" s="67"/>
      <c r="Q35" s="67"/>
      <c r="R35" s="67"/>
    </row>
    <row r="36" spans="1:18" ht="15" customHeight="1" x14ac:dyDescent="0.3">
      <c r="A36" s="6"/>
      <c r="B36" s="6"/>
      <c r="C36" s="67"/>
      <c r="D36" s="67"/>
      <c r="E36" s="67"/>
      <c r="F36" s="67"/>
      <c r="G36" s="67"/>
      <c r="H36" s="67"/>
      <c r="I36" s="67"/>
      <c r="J36" s="82"/>
      <c r="K36" s="82"/>
      <c r="L36" s="67"/>
      <c r="M36" s="67"/>
      <c r="O36" s="67"/>
      <c r="P36" s="67"/>
      <c r="Q36" s="67"/>
      <c r="R36" s="67"/>
    </row>
    <row r="37" spans="1:18" ht="14" x14ac:dyDescent="0.3">
      <c r="A37" s="6"/>
      <c r="B37" s="6"/>
      <c r="C37" s="67"/>
      <c r="D37" s="67"/>
      <c r="E37" s="67"/>
      <c r="F37" s="67"/>
      <c r="G37" s="67"/>
      <c r="H37" s="67"/>
      <c r="I37" s="67"/>
      <c r="J37" s="82"/>
      <c r="K37" s="82"/>
      <c r="L37" s="67"/>
      <c r="M37" s="67"/>
      <c r="O37" s="67"/>
      <c r="P37" s="67"/>
      <c r="Q37" s="67"/>
      <c r="R37" s="67"/>
    </row>
    <row r="38" spans="1:18" ht="14" x14ac:dyDescent="0.3">
      <c r="A38" s="6"/>
      <c r="B38" s="6"/>
      <c r="C38" s="67"/>
      <c r="D38" s="67"/>
      <c r="E38" s="67"/>
      <c r="F38" s="67"/>
      <c r="G38" s="67"/>
      <c r="H38" s="67"/>
      <c r="I38" s="67"/>
      <c r="J38" s="82"/>
      <c r="K38" s="82"/>
      <c r="L38" s="67"/>
      <c r="M38" s="67"/>
      <c r="O38" s="67"/>
      <c r="P38" s="67"/>
      <c r="Q38" s="67"/>
      <c r="R38" s="67"/>
    </row>
    <row r="39" spans="1:18" ht="14" x14ac:dyDescent="0.3">
      <c r="A39" s="6"/>
      <c r="B39" s="6"/>
      <c r="C39" s="67"/>
      <c r="D39" s="67"/>
      <c r="E39" s="67"/>
      <c r="F39" s="67"/>
      <c r="G39" s="67"/>
      <c r="H39" s="67"/>
      <c r="I39" s="67"/>
      <c r="J39" s="82"/>
      <c r="K39" s="82"/>
      <c r="L39" s="67"/>
      <c r="M39" s="67"/>
      <c r="O39" s="67"/>
      <c r="P39" s="67"/>
      <c r="Q39" s="67"/>
      <c r="R39" s="67"/>
    </row>
    <row r="40" spans="1:18" ht="14" x14ac:dyDescent="0.3">
      <c r="A40" s="5" t="s">
        <v>31</v>
      </c>
      <c r="B40" s="67"/>
      <c r="C40" s="67"/>
      <c r="D40" s="67"/>
      <c r="E40" s="67"/>
      <c r="F40" s="67"/>
      <c r="G40" s="67"/>
      <c r="H40" s="67"/>
      <c r="I40" s="67"/>
      <c r="J40" s="67"/>
      <c r="K40" s="82"/>
      <c r="L40" s="67"/>
      <c r="M40" s="67"/>
      <c r="O40" s="67"/>
      <c r="P40" s="67"/>
      <c r="Q40" s="67"/>
      <c r="R40" s="67"/>
    </row>
    <row r="41" spans="1:18" ht="15.5" x14ac:dyDescent="0.35">
      <c r="A41" s="114"/>
      <c r="B41" s="115"/>
      <c r="C41" s="94"/>
      <c r="D41" s="89" t="s">
        <v>8</v>
      </c>
      <c r="E41" s="90" t="s">
        <v>19</v>
      </c>
      <c r="F41" s="94"/>
      <c r="G41" s="94"/>
      <c r="H41" s="94"/>
      <c r="I41" s="67"/>
      <c r="J41" s="67"/>
      <c r="K41" s="82"/>
      <c r="L41" s="67"/>
      <c r="M41" s="67"/>
      <c r="O41" s="67"/>
      <c r="P41" s="67"/>
      <c r="Q41" s="67"/>
      <c r="R41" s="67"/>
    </row>
    <row r="42" spans="1:18" ht="15.5" x14ac:dyDescent="0.35">
      <c r="A42" s="116"/>
      <c r="B42" s="115"/>
      <c r="C42" s="94"/>
      <c r="D42" s="91" t="s">
        <v>14</v>
      </c>
      <c r="E42" s="90" t="s">
        <v>23</v>
      </c>
      <c r="F42" s="94"/>
      <c r="G42" s="94"/>
      <c r="H42" s="94"/>
      <c r="I42" s="67"/>
      <c r="J42" s="67"/>
      <c r="K42" s="82"/>
      <c r="L42" s="67"/>
      <c r="M42" s="67"/>
      <c r="O42" s="67"/>
      <c r="P42" s="67"/>
      <c r="Q42" s="67"/>
      <c r="R42" s="67"/>
    </row>
    <row r="43" spans="1:18" ht="15.5" x14ac:dyDescent="0.35">
      <c r="A43" s="114"/>
      <c r="B43" s="115"/>
      <c r="C43" s="94"/>
      <c r="D43" s="92" t="s">
        <v>15</v>
      </c>
      <c r="E43" s="90" t="s">
        <v>1</v>
      </c>
      <c r="F43" s="94"/>
      <c r="G43" s="94"/>
      <c r="H43" s="94"/>
      <c r="I43" s="67"/>
      <c r="J43" s="67"/>
      <c r="K43" s="82"/>
      <c r="L43" s="67"/>
      <c r="M43" s="67"/>
      <c r="O43" s="67"/>
      <c r="P43" s="67"/>
      <c r="Q43" s="67"/>
      <c r="R43" s="67"/>
    </row>
    <row r="44" spans="1:18" ht="15.5" x14ac:dyDescent="0.35">
      <c r="A44" s="116"/>
      <c r="B44" s="115"/>
      <c r="C44" s="94"/>
      <c r="D44" s="92" t="s">
        <v>16</v>
      </c>
      <c r="E44" s="90" t="s">
        <v>7</v>
      </c>
      <c r="F44" s="94"/>
      <c r="G44" s="94"/>
      <c r="H44" s="94"/>
      <c r="I44" s="67"/>
      <c r="J44" s="67"/>
      <c r="K44" s="82"/>
      <c r="L44" s="67"/>
      <c r="M44" s="67"/>
      <c r="N44" s="67"/>
      <c r="O44" s="67"/>
      <c r="P44" s="67"/>
      <c r="Q44" s="67"/>
      <c r="R44" s="67"/>
    </row>
    <row r="45" spans="1:18" ht="15.5" x14ac:dyDescent="0.35">
      <c r="A45" s="114"/>
      <c r="B45" s="115"/>
      <c r="C45" s="94"/>
      <c r="D45" s="92" t="s">
        <v>18</v>
      </c>
      <c r="E45" s="90" t="s">
        <v>24</v>
      </c>
      <c r="F45" s="94"/>
      <c r="G45" s="94"/>
      <c r="H45" s="94"/>
      <c r="I45" s="67"/>
      <c r="J45" s="67"/>
      <c r="K45" s="82"/>
      <c r="L45" s="67"/>
      <c r="M45" s="67"/>
      <c r="N45" s="67"/>
      <c r="O45" s="67"/>
      <c r="P45" s="67"/>
      <c r="Q45" s="67"/>
      <c r="R45" s="67"/>
    </row>
    <row r="46" spans="1:18" ht="15.5" x14ac:dyDescent="0.35">
      <c r="A46" s="116"/>
      <c r="B46" s="115"/>
      <c r="C46" s="94"/>
      <c r="D46" s="92" t="s">
        <v>17</v>
      </c>
      <c r="E46" s="90" t="s">
        <v>20</v>
      </c>
      <c r="F46" s="94"/>
      <c r="G46" s="94"/>
      <c r="H46" s="94"/>
      <c r="I46" s="67"/>
      <c r="J46" s="67"/>
      <c r="K46" s="82"/>
      <c r="L46" s="67"/>
      <c r="M46" s="67"/>
      <c r="N46" s="67"/>
      <c r="O46" s="67"/>
      <c r="P46" s="67"/>
      <c r="Q46" s="67"/>
      <c r="R46" s="67"/>
    </row>
    <row r="47" spans="1:18" ht="15.5" x14ac:dyDescent="0.35">
      <c r="A47" s="114"/>
      <c r="B47" s="115"/>
      <c r="C47" s="94"/>
      <c r="D47" s="93"/>
      <c r="E47" s="90" t="s">
        <v>25</v>
      </c>
      <c r="F47" s="94"/>
      <c r="G47" s="94"/>
      <c r="H47" s="94"/>
      <c r="I47" s="67"/>
      <c r="J47" s="67"/>
      <c r="K47" s="82"/>
      <c r="L47" s="67"/>
      <c r="M47" s="67"/>
    </row>
    <row r="48" spans="1:18" ht="15.5" x14ac:dyDescent="0.35">
      <c r="A48" s="117"/>
      <c r="B48" s="117"/>
      <c r="C48" s="93"/>
      <c r="D48" s="90" t="s">
        <v>9</v>
      </c>
      <c r="E48" s="90" t="s">
        <v>6</v>
      </c>
      <c r="F48" s="93"/>
      <c r="G48" s="93"/>
      <c r="H48" s="93"/>
    </row>
    <row r="49" spans="1:8" ht="15.5" x14ac:dyDescent="0.35">
      <c r="A49" s="117"/>
      <c r="B49" s="117"/>
      <c r="C49" s="93"/>
      <c r="D49" s="90" t="s">
        <v>10</v>
      </c>
      <c r="E49" s="90" t="s">
        <v>26</v>
      </c>
      <c r="F49" s="93"/>
      <c r="G49" s="93"/>
      <c r="H49" s="93"/>
    </row>
    <row r="50" spans="1:8" ht="15.5" x14ac:dyDescent="0.35">
      <c r="A50" s="117"/>
      <c r="B50" s="117"/>
      <c r="C50" s="93"/>
      <c r="D50" s="94"/>
      <c r="E50" s="90" t="s">
        <v>27</v>
      </c>
      <c r="F50" s="93"/>
      <c r="G50" s="93"/>
      <c r="H50" s="93"/>
    </row>
    <row r="51" spans="1:8" ht="15.5" x14ac:dyDescent="0.35">
      <c r="A51" s="117"/>
      <c r="B51" s="117"/>
      <c r="C51" s="93"/>
      <c r="D51" s="89" t="s">
        <v>11</v>
      </c>
      <c r="E51" s="90" t="s">
        <v>8</v>
      </c>
      <c r="F51" s="93"/>
      <c r="G51" s="93"/>
      <c r="H51" s="93"/>
    </row>
    <row r="52" spans="1:8" ht="14" x14ac:dyDescent="0.3">
      <c r="A52" s="117"/>
      <c r="B52" s="117"/>
      <c r="C52" s="93"/>
      <c r="D52" s="89"/>
      <c r="E52" s="93"/>
      <c r="F52" s="93"/>
      <c r="G52" s="93"/>
      <c r="H52" s="93"/>
    </row>
    <row r="53" spans="1:8" ht="14" x14ac:dyDescent="0.3">
      <c r="A53" s="117"/>
      <c r="B53" s="117"/>
      <c r="C53" s="93"/>
      <c r="D53" s="89" t="s">
        <v>12</v>
      </c>
      <c r="E53" s="93"/>
      <c r="F53" s="93"/>
      <c r="G53" s="93"/>
      <c r="H53" s="93"/>
    </row>
    <row r="54" spans="1:8" ht="14" x14ac:dyDescent="0.3">
      <c r="A54" s="117"/>
      <c r="B54" s="117"/>
      <c r="C54" s="93"/>
      <c r="D54" s="89" t="s">
        <v>13</v>
      </c>
      <c r="E54" s="93"/>
      <c r="F54" s="93"/>
      <c r="G54" s="93"/>
      <c r="H54" s="93"/>
    </row>
    <row r="55" spans="1:8" x14ac:dyDescent="0.25">
      <c r="A55" s="117"/>
      <c r="B55" s="117"/>
      <c r="C55" s="93"/>
      <c r="D55" s="93"/>
      <c r="E55" s="93"/>
      <c r="F55" s="93"/>
      <c r="G55" s="93"/>
      <c r="H55" s="93"/>
    </row>
    <row r="56" spans="1:8" ht="14" x14ac:dyDescent="0.3">
      <c r="A56" s="117"/>
      <c r="B56" s="117"/>
      <c r="C56" s="93"/>
      <c r="D56" s="95" t="s">
        <v>3</v>
      </c>
      <c r="E56" s="93"/>
      <c r="F56" s="93"/>
      <c r="G56" s="93"/>
      <c r="H56" s="93"/>
    </row>
    <row r="57" spans="1:8" ht="14" x14ac:dyDescent="0.3">
      <c r="A57" s="117"/>
      <c r="B57" s="117"/>
      <c r="C57" s="93"/>
      <c r="D57" s="95" t="s">
        <v>4</v>
      </c>
      <c r="E57" s="93"/>
      <c r="F57" s="93"/>
      <c r="G57" s="93"/>
      <c r="H57" s="93"/>
    </row>
    <row r="58" spans="1:8" x14ac:dyDescent="0.25">
      <c r="C58" s="93"/>
      <c r="D58" s="93"/>
      <c r="E58" s="93"/>
      <c r="F58" s="93"/>
      <c r="G58" s="93"/>
      <c r="H58" s="93"/>
    </row>
  </sheetData>
  <sheetProtection sheet="1" objects="1" scenarios="1" selectLockedCells="1"/>
  <mergeCells count="20">
    <mergeCell ref="A24:B24"/>
    <mergeCell ref="D24:E24"/>
    <mergeCell ref="H16:I16"/>
    <mergeCell ref="H11:I11"/>
    <mergeCell ref="K11:L11"/>
    <mergeCell ref="A19:B19"/>
    <mergeCell ref="D19:E19"/>
    <mergeCell ref="A32:B32"/>
    <mergeCell ref="D32:E32"/>
    <mergeCell ref="H24:I24"/>
    <mergeCell ref="K24:L24"/>
    <mergeCell ref="A11:B11"/>
    <mergeCell ref="D11:E11"/>
    <mergeCell ref="K16:L16"/>
    <mergeCell ref="H19:I19"/>
    <mergeCell ref="K19:L19"/>
    <mergeCell ref="A16:B16"/>
    <mergeCell ref="D16:E16"/>
    <mergeCell ref="A27:B27"/>
    <mergeCell ref="D27:E27"/>
  </mergeCells>
  <phoneticPr fontId="2" type="noConversion"/>
  <conditionalFormatting sqref="C11 F11:G11 J11 M11 M19 J19 F19:G19 C19 F27 C27">
    <cfRule type="cellIs" dxfId="7" priority="1" stopIfTrue="1" operator="equal">
      <formula>$D$41</formula>
    </cfRule>
    <cfRule type="cellIs" dxfId="6" priority="2" stopIfTrue="1" operator="notEqual">
      <formula>$D$41</formula>
    </cfRule>
  </conditionalFormatting>
  <conditionalFormatting sqref="A11:B11 D11:E11 H11:I11 K11:L11 A19:B19 D19:E19 H19:I19 K19:L19 A27:B27 D27:E27">
    <cfRule type="cellIs" dxfId="5" priority="3" stopIfTrue="1" operator="equal">
      <formula>$E$51</formula>
    </cfRule>
    <cfRule type="cellIs" dxfId="4" priority="4" stopIfTrue="1" operator="notEqual">
      <formula>$E$51</formula>
    </cfRule>
  </conditionalFormatting>
  <conditionalFormatting sqref="A16:B16 D16:E16 H16:I16 K16:L16 A24:B24 D24:E24 H24:I24 K24:L24 A32:B32 D32:E32">
    <cfRule type="cellIs" dxfId="3" priority="5" stopIfTrue="1" operator="equal">
      <formula>$D$56</formula>
    </cfRule>
    <cfRule type="cellIs" dxfId="2" priority="6" stopIfTrue="1" operator="equal">
      <formula>$D$57</formula>
    </cfRule>
  </conditionalFormatting>
  <dataValidations count="4">
    <dataValidation type="list" allowBlank="1" showInputMessage="1" showErrorMessage="1" sqref="G11 G19" xr:uid="{00000000-0002-0000-0200-000000000000}">
      <formula1>$D$42:$D$46</formula1>
    </dataValidation>
    <dataValidation type="list" allowBlank="1" showInputMessage="1" showErrorMessage="1" sqref="A12:B12 D12:E12 H12:I12 K12:L12 A20:B20 D20:E20 H20:I20 K20:L20 A28:B28 D28:E28" xr:uid="{00000000-0002-0000-0200-000001000000}">
      <formula1>$D$53:$D$55</formula1>
    </dataValidation>
    <dataValidation type="list" allowBlank="1" showInputMessage="1" showErrorMessage="1" sqref="A11:B11 D11:E11 H11:I11 K11:L11 A19:B19 D19:E19 H19:I19 K19:L19 A27:B27 D27:E27" xr:uid="{00000000-0002-0000-0200-000002000000}">
      <formula1>$E$41:$E$51</formula1>
    </dataValidation>
    <dataValidation type="list" allowBlank="1" showInputMessage="1" showErrorMessage="1" sqref="C11 F11 J11 M11 C19 F19 J19 M19 C27 F27" xr:uid="{00000000-0002-0000-0200-000003000000}">
      <formula1>$D$41:$D$46</formula1>
    </dataValidation>
  </dataValidations>
  <printOptions horizontalCentered="1"/>
  <pageMargins left="0.28000000000000003" right="0.19" top="0.7" bottom="0.65" header="0.5" footer="0.5"/>
  <pageSetup orientation="landscape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R50"/>
  <sheetViews>
    <sheetView topLeftCell="A13" workbookViewId="0">
      <selection activeCell="A26" sqref="A26"/>
    </sheetView>
  </sheetViews>
  <sheetFormatPr defaultRowHeight="12.5" x14ac:dyDescent="0.25"/>
  <cols>
    <col min="1" max="1" width="14.453125" customWidth="1"/>
    <col min="2" max="2" width="17" customWidth="1"/>
    <col min="3" max="3" width="6.26953125" customWidth="1"/>
    <col min="4" max="4" width="11.7265625" customWidth="1"/>
    <col min="5" max="5" width="12.54296875" customWidth="1"/>
    <col min="6" max="6" width="6.26953125" customWidth="1"/>
    <col min="7" max="7" width="5.7265625" customWidth="1"/>
    <col min="8" max="8" width="11.7265625" customWidth="1"/>
    <col min="9" max="9" width="14.7265625" customWidth="1"/>
    <col min="10" max="10" width="5.7265625" customWidth="1"/>
    <col min="11" max="11" width="11.7265625" customWidth="1"/>
    <col min="12" max="12" width="14.26953125" customWidth="1"/>
    <col min="13" max="13" width="5.7265625" customWidth="1"/>
    <col min="14" max="17" width="17.7265625" customWidth="1"/>
    <col min="18" max="18" width="17.453125" customWidth="1"/>
  </cols>
  <sheetData>
    <row r="1" spans="1:18" ht="15.5" x14ac:dyDescent="0.35">
      <c r="A1" s="1" t="s">
        <v>34</v>
      </c>
      <c r="B1" s="1"/>
      <c r="C1" s="1"/>
      <c r="D1" s="1" t="s">
        <v>0</v>
      </c>
      <c r="E1" s="11" t="s">
        <v>2</v>
      </c>
      <c r="F1" s="1"/>
      <c r="G1" s="1"/>
      <c r="H1" s="1"/>
      <c r="I1" s="1"/>
      <c r="J1" s="1"/>
      <c r="K1" s="1"/>
      <c r="L1" s="1"/>
      <c r="M1" s="1"/>
      <c r="N1" s="13"/>
      <c r="O1" s="1"/>
      <c r="P1" s="1"/>
      <c r="Q1" s="1"/>
      <c r="R1" s="1"/>
    </row>
    <row r="2" spans="1:18" ht="15.5" x14ac:dyDescent="0.35">
      <c r="A2" s="1" t="s">
        <v>33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3"/>
      <c r="O2" s="1"/>
      <c r="P2" s="1"/>
      <c r="Q2" s="1"/>
      <c r="R2" s="1"/>
    </row>
    <row r="3" spans="1:18" ht="15.5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3"/>
      <c r="O3" s="1"/>
      <c r="P3" s="1"/>
      <c r="Q3" s="1"/>
      <c r="R3" s="1"/>
    </row>
    <row r="4" spans="1:18" ht="15.5" x14ac:dyDescent="0.35">
      <c r="A4" s="1" t="s">
        <v>21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3"/>
      <c r="O4" s="1"/>
      <c r="P4" s="1"/>
      <c r="Q4" s="1"/>
      <c r="R4" s="1"/>
    </row>
    <row r="5" spans="1:18" ht="15.5" x14ac:dyDescent="0.35">
      <c r="A5" s="37" t="s">
        <v>29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3"/>
      <c r="O5" s="1"/>
      <c r="P5" s="1"/>
      <c r="Q5" s="1"/>
      <c r="R5" s="1"/>
    </row>
    <row r="6" spans="1:18" ht="15.5" x14ac:dyDescent="0.35">
      <c r="A6" s="37" t="s">
        <v>30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3"/>
      <c r="O6" s="1"/>
      <c r="P6" s="1"/>
      <c r="Q6" s="1"/>
      <c r="R6" s="1"/>
    </row>
    <row r="7" spans="1:18" ht="15.5" x14ac:dyDescent="0.35">
      <c r="A7" s="37" t="s">
        <v>22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3"/>
      <c r="O7" s="1"/>
      <c r="P7" s="1"/>
      <c r="Q7" s="1"/>
      <c r="R7" s="1"/>
    </row>
    <row r="8" spans="1:18" ht="15.5" x14ac:dyDescent="0.35">
      <c r="A8" s="37" t="s">
        <v>28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3"/>
      <c r="O8" s="1"/>
      <c r="P8" s="1"/>
      <c r="Q8" s="1"/>
      <c r="R8" s="1"/>
    </row>
    <row r="9" spans="1:18" ht="16" thickBot="1" x14ac:dyDescent="0.4">
      <c r="A9" s="37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3"/>
      <c r="O9" s="1"/>
      <c r="P9" s="1"/>
      <c r="Q9" s="1"/>
      <c r="R9" s="1"/>
    </row>
    <row r="10" spans="1:18" ht="15.5" x14ac:dyDescent="0.35">
      <c r="A10" s="25" t="s">
        <v>46</v>
      </c>
      <c r="B10" s="26"/>
      <c r="C10" s="26"/>
      <c r="D10" s="26"/>
      <c r="E10" s="26"/>
      <c r="F10" s="27"/>
      <c r="G10" s="1"/>
      <c r="H10" s="25" t="s">
        <v>50</v>
      </c>
      <c r="I10" s="26"/>
      <c r="J10" s="26"/>
      <c r="K10" s="26"/>
      <c r="L10" s="26"/>
      <c r="M10" s="27"/>
      <c r="N10" s="13"/>
      <c r="O10" s="1"/>
      <c r="P10" s="1"/>
      <c r="Q10" s="1"/>
      <c r="R10" s="1"/>
    </row>
    <row r="11" spans="1:18" ht="15.5" x14ac:dyDescent="0.35">
      <c r="A11" s="123" t="s">
        <v>19</v>
      </c>
      <c r="B11" s="122"/>
      <c r="C11" s="9" t="s">
        <v>14</v>
      </c>
      <c r="D11" s="122" t="s">
        <v>6</v>
      </c>
      <c r="E11" s="122"/>
      <c r="F11" s="28" t="s">
        <v>18</v>
      </c>
      <c r="G11" s="9"/>
      <c r="H11" s="123" t="s">
        <v>23</v>
      </c>
      <c r="I11" s="122"/>
      <c r="J11" s="9" t="s">
        <v>14</v>
      </c>
      <c r="K11" s="122" t="s">
        <v>6</v>
      </c>
      <c r="L11" s="122"/>
      <c r="M11" s="28" t="s">
        <v>18</v>
      </c>
      <c r="O11" s="3"/>
      <c r="P11" s="8"/>
      <c r="Q11" s="8"/>
      <c r="R11" s="3"/>
    </row>
    <row r="12" spans="1:18" ht="15.5" x14ac:dyDescent="0.35">
      <c r="A12" s="56" t="s">
        <v>12</v>
      </c>
      <c r="B12" s="23"/>
      <c r="C12" s="21"/>
      <c r="D12" s="60"/>
      <c r="E12" s="23" t="s">
        <v>12</v>
      </c>
      <c r="F12" s="29"/>
      <c r="G12" s="21"/>
      <c r="H12" s="58" t="s">
        <v>12</v>
      </c>
      <c r="I12" s="23"/>
      <c r="J12" s="22"/>
      <c r="K12" s="57"/>
      <c r="L12" s="23" t="s">
        <v>12</v>
      </c>
      <c r="M12" s="39"/>
      <c r="O12" s="4"/>
      <c r="P12" s="8"/>
      <c r="Q12" s="8"/>
      <c r="R12" s="4"/>
    </row>
    <row r="13" spans="1:18" ht="15.5" x14ac:dyDescent="0.35">
      <c r="A13" s="52">
        <v>1500</v>
      </c>
      <c r="B13" s="23"/>
      <c r="C13" s="23"/>
      <c r="D13" s="61"/>
      <c r="E13" s="23">
        <v>1500</v>
      </c>
      <c r="F13" s="30"/>
      <c r="G13" s="23"/>
      <c r="H13" s="59">
        <v>500</v>
      </c>
      <c r="I13" s="23"/>
      <c r="J13" s="23"/>
      <c r="K13" s="53"/>
      <c r="L13" s="23">
        <v>500</v>
      </c>
      <c r="M13" s="34"/>
      <c r="O13" s="2"/>
      <c r="P13" s="2"/>
      <c r="Q13" s="2"/>
      <c r="R13" s="2"/>
    </row>
    <row r="14" spans="1:18" ht="15.5" x14ac:dyDescent="0.35">
      <c r="A14" s="36"/>
      <c r="B14" s="38"/>
      <c r="C14" s="23"/>
      <c r="E14" s="38"/>
      <c r="F14" s="30"/>
      <c r="G14" s="23"/>
      <c r="H14" s="36"/>
      <c r="I14" s="38"/>
      <c r="J14" s="23"/>
      <c r="L14" s="38"/>
      <c r="M14" s="34"/>
      <c r="O14" s="2"/>
      <c r="P14" s="2"/>
      <c r="Q14" s="2"/>
      <c r="R14" s="2"/>
    </row>
    <row r="15" spans="1:18" ht="15.5" x14ac:dyDescent="0.35">
      <c r="A15" s="31"/>
      <c r="B15" s="23"/>
      <c r="C15" s="23"/>
      <c r="D15" s="22"/>
      <c r="E15" s="23"/>
      <c r="F15" s="30"/>
      <c r="G15" s="23"/>
      <c r="H15" s="31"/>
      <c r="I15" s="23"/>
      <c r="J15" s="23"/>
      <c r="K15" s="22"/>
      <c r="L15" s="23"/>
      <c r="M15" s="34"/>
      <c r="O15" s="2"/>
      <c r="P15" s="2"/>
      <c r="Q15" s="2"/>
      <c r="R15" s="2"/>
    </row>
    <row r="16" spans="1:18" ht="16" thickBot="1" x14ac:dyDescent="0.4">
      <c r="A16" s="130"/>
      <c r="B16" s="131"/>
      <c r="C16" s="32"/>
      <c r="D16" s="132"/>
      <c r="E16" s="132"/>
      <c r="F16" s="33"/>
      <c r="G16" s="23"/>
      <c r="H16" s="133"/>
      <c r="I16" s="132"/>
      <c r="J16" s="32"/>
      <c r="K16" s="129"/>
      <c r="L16" s="129"/>
      <c r="M16" s="35"/>
      <c r="O16" s="2"/>
      <c r="P16" s="2"/>
      <c r="Q16" s="2"/>
      <c r="R16" s="2"/>
    </row>
    <row r="17" spans="1:18" ht="16" thickBot="1" x14ac:dyDescent="0.4">
      <c r="A17" s="21"/>
      <c r="B17" s="23"/>
      <c r="C17" s="23"/>
      <c r="D17" s="23"/>
      <c r="E17" s="23"/>
      <c r="F17" s="23"/>
      <c r="G17" s="23"/>
      <c r="H17" s="23"/>
      <c r="I17" s="23"/>
      <c r="J17" s="23"/>
      <c r="K17" s="24"/>
      <c r="L17" s="23"/>
      <c r="M17" s="12"/>
      <c r="O17" s="2"/>
      <c r="P17" s="2"/>
      <c r="Q17" s="2"/>
      <c r="R17" s="2"/>
    </row>
    <row r="18" spans="1:18" ht="15.5" x14ac:dyDescent="0.35">
      <c r="A18" s="42" t="s">
        <v>47</v>
      </c>
      <c r="B18" s="43"/>
      <c r="C18" s="43"/>
      <c r="D18" s="43"/>
      <c r="E18" s="43"/>
      <c r="F18" s="44"/>
      <c r="G18" s="23"/>
      <c r="H18" s="45" t="s">
        <v>48</v>
      </c>
      <c r="I18" s="43"/>
      <c r="J18" s="43"/>
      <c r="K18" s="46"/>
      <c r="L18" s="43"/>
      <c r="M18" s="47"/>
      <c r="O18" s="2"/>
      <c r="P18" s="2"/>
      <c r="Q18" s="2"/>
      <c r="R18" s="2"/>
    </row>
    <row r="19" spans="1:18" ht="15.5" x14ac:dyDescent="0.35">
      <c r="A19" s="123" t="s">
        <v>27</v>
      </c>
      <c r="B19" s="122"/>
      <c r="C19" s="9" t="s">
        <v>17</v>
      </c>
      <c r="D19" s="122" t="s">
        <v>19</v>
      </c>
      <c r="E19" s="122"/>
      <c r="F19" s="28" t="s">
        <v>14</v>
      </c>
      <c r="G19" s="9"/>
      <c r="H19" s="123" t="s">
        <v>19</v>
      </c>
      <c r="I19" s="122"/>
      <c r="J19" s="9" t="s">
        <v>14</v>
      </c>
      <c r="K19" s="122" t="s">
        <v>23</v>
      </c>
      <c r="L19" s="122"/>
      <c r="M19" s="28" t="s">
        <v>14</v>
      </c>
      <c r="O19" s="2"/>
      <c r="P19" s="2"/>
      <c r="Q19" s="2"/>
      <c r="R19" s="2"/>
    </row>
    <row r="20" spans="1:18" ht="15.5" x14ac:dyDescent="0.35">
      <c r="A20" s="62" t="s">
        <v>12</v>
      </c>
      <c r="B20" s="50"/>
      <c r="C20" s="23"/>
      <c r="D20" s="55"/>
      <c r="E20" s="50" t="s">
        <v>13</v>
      </c>
      <c r="F20" s="30"/>
      <c r="G20" s="23"/>
      <c r="H20" s="62" t="s">
        <v>12</v>
      </c>
      <c r="I20" s="50"/>
      <c r="J20" s="23"/>
      <c r="K20" s="55"/>
      <c r="L20" s="50" t="s">
        <v>13</v>
      </c>
      <c r="M20" s="34"/>
      <c r="O20" s="2"/>
      <c r="P20" s="2"/>
      <c r="Q20" s="2"/>
      <c r="R20" s="2"/>
    </row>
    <row r="21" spans="1:18" ht="15.5" x14ac:dyDescent="0.35">
      <c r="A21" s="63">
        <v>450</v>
      </c>
      <c r="B21" s="51"/>
      <c r="C21" s="23"/>
      <c r="D21" s="54"/>
      <c r="E21" s="51">
        <v>450</v>
      </c>
      <c r="F21" s="30"/>
      <c r="G21" s="23"/>
      <c r="H21" s="63">
        <v>250</v>
      </c>
      <c r="I21" s="51"/>
      <c r="J21" s="23"/>
      <c r="K21" s="54"/>
      <c r="L21" s="51">
        <v>250</v>
      </c>
      <c r="M21" s="34"/>
      <c r="O21" s="2"/>
      <c r="P21" s="2"/>
      <c r="Q21" s="2"/>
      <c r="R21" s="2"/>
    </row>
    <row r="22" spans="1:18" ht="15.5" x14ac:dyDescent="0.35">
      <c r="A22" s="36"/>
      <c r="B22" s="38"/>
      <c r="C22" s="23"/>
      <c r="E22" s="38"/>
      <c r="F22" s="30"/>
      <c r="G22" s="23"/>
      <c r="H22" s="36"/>
      <c r="I22" s="38"/>
      <c r="J22" s="23"/>
      <c r="L22" s="38"/>
      <c r="M22" s="34"/>
      <c r="O22" s="2"/>
      <c r="P22" s="2"/>
      <c r="Q22" s="2"/>
      <c r="R22" s="2"/>
    </row>
    <row r="23" spans="1:18" ht="15.5" x14ac:dyDescent="0.35">
      <c r="A23" s="36"/>
      <c r="C23" s="23"/>
      <c r="F23" s="30"/>
      <c r="G23" s="23"/>
      <c r="H23" s="36"/>
      <c r="J23" s="23"/>
      <c r="M23" s="34"/>
      <c r="O23" s="2"/>
      <c r="P23" s="2"/>
      <c r="Q23" s="2"/>
      <c r="R23" s="2"/>
    </row>
    <row r="24" spans="1:18" ht="14.5" thickBot="1" x14ac:dyDescent="0.35">
      <c r="A24" s="124"/>
      <c r="B24" s="125"/>
      <c r="C24" s="40"/>
      <c r="D24" s="126"/>
      <c r="E24" s="126"/>
      <c r="F24" s="41"/>
      <c r="G24" s="2"/>
      <c r="H24" s="127"/>
      <c r="I24" s="126"/>
      <c r="J24" s="40"/>
      <c r="K24" s="128"/>
      <c r="L24" s="128"/>
      <c r="M24" s="41"/>
      <c r="O24" s="2"/>
      <c r="P24" s="2"/>
      <c r="Q24" s="2"/>
      <c r="R24" s="2"/>
    </row>
    <row r="25" spans="1:18" ht="14.5" thickBot="1" x14ac:dyDescent="0.35">
      <c r="A25" s="5"/>
      <c r="B25" s="2"/>
      <c r="C25" s="2"/>
      <c r="D25" s="2"/>
      <c r="E25" s="2"/>
      <c r="F25" s="2"/>
      <c r="G25" s="2"/>
      <c r="H25" s="2"/>
      <c r="I25" s="2"/>
      <c r="J25" s="2"/>
      <c r="K25" s="7"/>
      <c r="L25" s="2"/>
      <c r="M25" s="2"/>
      <c r="O25" s="2"/>
      <c r="P25" s="2"/>
      <c r="Q25" s="2"/>
      <c r="R25" s="2"/>
    </row>
    <row r="26" spans="1:18" ht="15.5" x14ac:dyDescent="0.35">
      <c r="A26" s="25" t="s">
        <v>49</v>
      </c>
      <c r="B26" s="48"/>
      <c r="C26" s="48"/>
      <c r="D26" s="48"/>
      <c r="E26" s="48"/>
      <c r="F26" s="49"/>
      <c r="G26" s="2"/>
      <c r="H26" s="2"/>
      <c r="I26" s="2"/>
      <c r="J26" s="2"/>
      <c r="K26" s="7"/>
      <c r="L26" s="2"/>
      <c r="M26" s="2"/>
      <c r="O26" s="2"/>
      <c r="P26" s="2"/>
      <c r="Q26" s="2"/>
      <c r="R26" s="2"/>
    </row>
    <row r="27" spans="1:18" ht="15.5" x14ac:dyDescent="0.35">
      <c r="A27" s="123" t="s">
        <v>25</v>
      </c>
      <c r="B27" s="122"/>
      <c r="C27" s="9" t="s">
        <v>16</v>
      </c>
      <c r="D27" s="122" t="s">
        <v>19</v>
      </c>
      <c r="E27" s="122"/>
      <c r="F27" s="28" t="s">
        <v>14</v>
      </c>
      <c r="G27" s="2"/>
      <c r="H27" s="2"/>
      <c r="I27" s="2"/>
      <c r="J27" s="2"/>
      <c r="K27" s="7"/>
      <c r="L27" s="2"/>
      <c r="M27" s="2"/>
      <c r="O27" s="2"/>
      <c r="P27" s="2"/>
      <c r="Q27" s="2"/>
      <c r="R27" s="2"/>
    </row>
    <row r="28" spans="1:18" ht="15.5" x14ac:dyDescent="0.35">
      <c r="A28" s="62" t="s">
        <v>12</v>
      </c>
      <c r="B28" s="50"/>
      <c r="C28" s="23"/>
      <c r="D28" s="55"/>
      <c r="E28" s="50" t="s">
        <v>13</v>
      </c>
      <c r="F28" s="30"/>
      <c r="G28" s="2"/>
      <c r="H28" s="2"/>
      <c r="I28" s="2"/>
      <c r="J28" s="2"/>
      <c r="K28" s="7"/>
      <c r="L28" s="2"/>
      <c r="M28" s="2"/>
      <c r="O28" s="2"/>
      <c r="P28" s="2"/>
      <c r="Q28" s="2"/>
      <c r="R28" s="2"/>
    </row>
    <row r="29" spans="1:18" ht="15.5" x14ac:dyDescent="0.35">
      <c r="A29" s="63">
        <v>700</v>
      </c>
      <c r="B29" s="51"/>
      <c r="C29" s="23"/>
      <c r="D29" s="54"/>
      <c r="E29" s="51">
        <v>700</v>
      </c>
      <c r="F29" s="30"/>
      <c r="G29" s="2"/>
      <c r="H29" s="2"/>
      <c r="I29" s="2"/>
      <c r="J29" s="2"/>
      <c r="K29" s="7"/>
      <c r="L29" s="2"/>
      <c r="M29" s="2"/>
      <c r="O29" s="2"/>
      <c r="P29" s="2"/>
      <c r="Q29" s="2"/>
      <c r="R29" s="2"/>
    </row>
    <row r="30" spans="1:18" ht="15.5" x14ac:dyDescent="0.35">
      <c r="A30" s="36"/>
      <c r="B30" s="38"/>
      <c r="C30" s="23"/>
      <c r="E30" s="38"/>
      <c r="F30" s="30"/>
      <c r="G30" s="2"/>
      <c r="H30" s="2"/>
      <c r="I30" s="2"/>
      <c r="J30" s="2"/>
      <c r="K30" s="7"/>
      <c r="L30" s="2"/>
      <c r="M30" s="2"/>
      <c r="O30" s="2"/>
      <c r="P30" s="2"/>
      <c r="Q30" s="2"/>
      <c r="R30" s="2"/>
    </row>
    <row r="31" spans="1:18" ht="15.5" x14ac:dyDescent="0.35">
      <c r="A31" s="36"/>
      <c r="C31" s="23"/>
      <c r="F31" s="30"/>
      <c r="G31" s="2"/>
      <c r="H31" s="2"/>
      <c r="I31" s="2"/>
      <c r="J31" s="2"/>
      <c r="K31" s="7"/>
      <c r="L31" s="2"/>
      <c r="M31" s="2"/>
      <c r="O31" s="2"/>
      <c r="P31" s="2"/>
      <c r="Q31" s="2"/>
      <c r="R31" s="2"/>
    </row>
    <row r="32" spans="1:18" ht="14.5" thickBot="1" x14ac:dyDescent="0.35">
      <c r="A32" s="124"/>
      <c r="B32" s="125"/>
      <c r="C32" s="40"/>
      <c r="D32" s="126"/>
      <c r="E32" s="126"/>
      <c r="F32" s="41"/>
      <c r="G32" s="2"/>
      <c r="H32" s="2"/>
      <c r="I32" s="2"/>
      <c r="J32" s="2"/>
      <c r="K32" s="7"/>
      <c r="L32" s="2"/>
      <c r="M32" s="2"/>
      <c r="O32" s="2"/>
      <c r="P32" s="2"/>
      <c r="Q32" s="2"/>
      <c r="R32" s="2"/>
    </row>
    <row r="33" spans="1:18" ht="14" x14ac:dyDescent="0.3">
      <c r="A33" s="6"/>
      <c r="B33" s="2"/>
      <c r="C33" s="2"/>
      <c r="D33" s="2"/>
      <c r="E33" s="2"/>
      <c r="F33" s="2"/>
      <c r="G33" s="2"/>
      <c r="H33" s="2"/>
      <c r="I33" s="2"/>
      <c r="J33" s="2"/>
      <c r="K33" s="7"/>
      <c r="L33" s="2"/>
      <c r="M33" s="2"/>
      <c r="O33" s="2"/>
      <c r="P33" s="2"/>
      <c r="Q33" s="2"/>
      <c r="R33" s="2"/>
    </row>
    <row r="34" spans="1:18" ht="15.5" x14ac:dyDescent="0.35">
      <c r="A34" s="5"/>
      <c r="B34" s="2"/>
      <c r="C34" s="2"/>
      <c r="D34" s="10" t="s">
        <v>8</v>
      </c>
      <c r="E34" s="1" t="s">
        <v>19</v>
      </c>
      <c r="F34" s="2"/>
      <c r="G34" s="2"/>
      <c r="H34" s="2"/>
      <c r="I34" s="2"/>
      <c r="J34" s="2"/>
      <c r="K34" s="7"/>
      <c r="L34" s="2"/>
      <c r="M34" s="2"/>
      <c r="O34" s="2"/>
      <c r="P34" s="2"/>
      <c r="Q34" s="2"/>
      <c r="R34" s="2"/>
    </row>
    <row r="35" spans="1:18" ht="15.5" x14ac:dyDescent="0.35">
      <c r="A35" s="6"/>
      <c r="B35" s="2"/>
      <c r="C35" s="2"/>
      <c r="D35" s="14" t="s">
        <v>14</v>
      </c>
      <c r="E35" s="1" t="s">
        <v>23</v>
      </c>
      <c r="F35" s="2"/>
      <c r="G35" s="2"/>
      <c r="H35" s="2"/>
      <c r="I35" s="2"/>
      <c r="J35" s="2"/>
      <c r="K35" s="7"/>
      <c r="L35" s="2"/>
      <c r="M35" s="2"/>
      <c r="O35" s="2"/>
      <c r="P35" s="2"/>
      <c r="Q35" s="2"/>
      <c r="R35" s="2"/>
    </row>
    <row r="36" spans="1:18" ht="15.5" x14ac:dyDescent="0.35">
      <c r="A36" s="5"/>
      <c r="B36" s="2"/>
      <c r="C36" s="2"/>
      <c r="D36" s="15" t="s">
        <v>15</v>
      </c>
      <c r="E36" s="1" t="s">
        <v>1</v>
      </c>
      <c r="F36" s="2"/>
      <c r="G36" s="2"/>
      <c r="H36" s="2"/>
      <c r="I36" s="2"/>
      <c r="J36" s="2"/>
      <c r="K36" s="7"/>
      <c r="L36" s="2"/>
      <c r="M36" s="2"/>
      <c r="O36" s="2"/>
      <c r="P36" s="2"/>
      <c r="Q36" s="2"/>
      <c r="R36" s="2"/>
    </row>
    <row r="37" spans="1:18" ht="15.5" x14ac:dyDescent="0.35">
      <c r="A37" s="6"/>
      <c r="B37" s="2"/>
      <c r="C37" s="2"/>
      <c r="D37" s="15" t="s">
        <v>16</v>
      </c>
      <c r="E37" s="1" t="s">
        <v>7</v>
      </c>
      <c r="F37" s="2"/>
      <c r="G37" s="2"/>
      <c r="H37" s="2"/>
      <c r="I37" s="2"/>
      <c r="J37" s="2"/>
      <c r="K37" s="7"/>
      <c r="L37" s="2"/>
      <c r="M37" s="2"/>
      <c r="N37" s="2"/>
      <c r="O37" s="2"/>
      <c r="P37" s="2"/>
      <c r="Q37" s="2"/>
      <c r="R37" s="2"/>
    </row>
    <row r="38" spans="1:18" ht="15.5" x14ac:dyDescent="0.35">
      <c r="A38" s="5"/>
      <c r="B38" s="2"/>
      <c r="C38" s="2"/>
      <c r="D38" s="15" t="s">
        <v>18</v>
      </c>
      <c r="E38" s="1" t="s">
        <v>24</v>
      </c>
      <c r="F38" s="2"/>
      <c r="G38" s="2"/>
      <c r="H38" s="2"/>
      <c r="I38" s="2"/>
      <c r="J38" s="2"/>
      <c r="K38" s="7"/>
      <c r="L38" s="2"/>
      <c r="M38" s="2"/>
      <c r="N38" s="2"/>
      <c r="O38" s="2"/>
      <c r="P38" s="2"/>
      <c r="Q38" s="2"/>
      <c r="R38" s="2"/>
    </row>
    <row r="39" spans="1:18" ht="15.5" x14ac:dyDescent="0.35">
      <c r="A39" s="6"/>
      <c r="B39" s="2"/>
      <c r="C39" s="2"/>
      <c r="D39" s="15" t="s">
        <v>17</v>
      </c>
      <c r="E39" s="1" t="s">
        <v>20</v>
      </c>
      <c r="F39" s="2"/>
      <c r="G39" s="2"/>
      <c r="H39" s="2"/>
      <c r="I39" s="2"/>
      <c r="J39" s="2"/>
      <c r="K39" s="7"/>
      <c r="L39" s="2"/>
      <c r="M39" s="2"/>
      <c r="N39" s="2"/>
      <c r="O39" s="2"/>
      <c r="P39" s="2"/>
      <c r="Q39" s="2"/>
      <c r="R39" s="2"/>
    </row>
    <row r="40" spans="1:18" ht="15.5" x14ac:dyDescent="0.35">
      <c r="A40" s="5"/>
      <c r="B40" s="2"/>
      <c r="C40" s="2"/>
      <c r="D40" s="16"/>
      <c r="E40" s="1" t="s">
        <v>25</v>
      </c>
      <c r="F40" s="2"/>
      <c r="G40" s="2"/>
      <c r="H40" s="2"/>
      <c r="I40" s="2"/>
      <c r="J40" s="2"/>
      <c r="K40" s="7"/>
      <c r="L40" s="2"/>
      <c r="M40" s="2"/>
    </row>
    <row r="41" spans="1:18" ht="15.5" x14ac:dyDescent="0.35">
      <c r="D41" s="13" t="s">
        <v>9</v>
      </c>
      <c r="E41" s="1" t="s">
        <v>6</v>
      </c>
    </row>
    <row r="42" spans="1:18" ht="15.5" x14ac:dyDescent="0.35">
      <c r="D42" s="13" t="s">
        <v>10</v>
      </c>
      <c r="E42" s="1" t="s">
        <v>26</v>
      </c>
    </row>
    <row r="43" spans="1:18" ht="15.5" x14ac:dyDescent="0.35">
      <c r="D43" s="17"/>
      <c r="E43" s="1" t="s">
        <v>27</v>
      </c>
    </row>
    <row r="44" spans="1:18" ht="14" x14ac:dyDescent="0.3">
      <c r="D44" s="18" t="s">
        <v>11</v>
      </c>
    </row>
    <row r="45" spans="1:18" ht="14" x14ac:dyDescent="0.3">
      <c r="D45" s="18"/>
    </row>
    <row r="46" spans="1:18" ht="14" x14ac:dyDescent="0.3">
      <c r="D46" s="18" t="s">
        <v>12</v>
      </c>
    </row>
    <row r="47" spans="1:18" ht="14" x14ac:dyDescent="0.3">
      <c r="D47" s="18" t="s">
        <v>13</v>
      </c>
    </row>
    <row r="48" spans="1:18" x14ac:dyDescent="0.25">
      <c r="D48" s="16"/>
    </row>
    <row r="49" spans="4:4" ht="14" x14ac:dyDescent="0.3">
      <c r="D49" s="19" t="s">
        <v>3</v>
      </c>
    </row>
    <row r="50" spans="4:4" ht="14" x14ac:dyDescent="0.3">
      <c r="D50" s="19" t="s">
        <v>4</v>
      </c>
    </row>
  </sheetData>
  <mergeCells count="20">
    <mergeCell ref="H19:I19"/>
    <mergeCell ref="K19:L19"/>
    <mergeCell ref="A24:B24"/>
    <mergeCell ref="D24:E24"/>
    <mergeCell ref="H24:I24"/>
    <mergeCell ref="K24:L24"/>
    <mergeCell ref="A19:B19"/>
    <mergeCell ref="D19:E19"/>
    <mergeCell ref="A27:B27"/>
    <mergeCell ref="D27:E27"/>
    <mergeCell ref="A32:B32"/>
    <mergeCell ref="D32:E32"/>
    <mergeCell ref="A11:B11"/>
    <mergeCell ref="D11:E11"/>
    <mergeCell ref="H11:I11"/>
    <mergeCell ref="K11:L11"/>
    <mergeCell ref="A16:B16"/>
    <mergeCell ref="D16:E16"/>
    <mergeCell ref="H16:I16"/>
    <mergeCell ref="K16:L16"/>
  </mergeCells>
  <phoneticPr fontId="2" type="noConversion"/>
  <conditionalFormatting sqref="C11 F11:G11 J11 M11 M19 J19 F19:G19 C19 F27 C27">
    <cfRule type="cellIs" dxfId="1" priority="1" stopIfTrue="1" operator="equal">
      <formula>$D$34</formula>
    </cfRule>
    <cfRule type="cellIs" dxfId="0" priority="2" stopIfTrue="1" operator="notEqual">
      <formula>$D$34</formula>
    </cfRule>
  </conditionalFormatting>
  <dataValidations count="5">
    <dataValidation type="list" allowBlank="1" showInputMessage="1" showErrorMessage="1" sqref="G11 G19" xr:uid="{00000000-0002-0000-0500-000000000000}">
      <formula1>$D$35:$D$39</formula1>
    </dataValidation>
    <dataValidation type="list" allowBlank="1" showInputMessage="1" showErrorMessage="1" sqref="K15:L15 H15:I15" xr:uid="{00000000-0002-0000-0500-000001000000}">
      <formula1>$D$46:$D$47</formula1>
    </dataValidation>
    <dataValidation type="list" allowBlank="1" showInputMessage="1" showErrorMessage="1" sqref="A12:B12 D12:E12 H12:I12 K12:L12 A20:B20 D20:E20 H20:I20 K20:L20 A28:B28 D28:E28" xr:uid="{00000000-0002-0000-0500-000002000000}">
      <formula1>$D$46:$D$48</formula1>
    </dataValidation>
    <dataValidation type="list" allowBlank="1" showInputMessage="1" showErrorMessage="1" sqref="A11:B11 D11:E11 H11:I11 K11:L11 A19:B19 D19:E19 H19:I19 K19:L19 A27:B27 D27:E27" xr:uid="{00000000-0002-0000-0500-000003000000}">
      <formula1>$E$34:$E$44</formula1>
    </dataValidation>
    <dataValidation type="list" allowBlank="1" showInputMessage="1" showErrorMessage="1" sqref="C11 F11 J11 M11 C19 F19 J19 M19 C27 F27" xr:uid="{00000000-0002-0000-0500-000004000000}">
      <formula1>$D$34:$D$39</formula1>
    </dataValidation>
  </dataValidations>
  <printOptions horizontalCentered="1"/>
  <pageMargins left="7.0000000000000007E-2" right="0.19" top="0.7" bottom="0.65" header="0.5" footer="0.5"/>
  <pageSetup orientation="landscape" horizontalDpi="4294967293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E71C6AB-35B3-46E1-8E19-AA7C5FC626C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22B3B5-4627-4EE2-A807-5155AA5B71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3FFAE90-B170-4547-9F0D-B4E642632267}">
  <ds:schemaRefs>
    <ds:schemaRef ds:uri="http://purl.org/dc/elements/1.1/"/>
    <ds:schemaRef ds:uri="http://schemas.microsoft.com/office/2006/documentManagement/types"/>
    <ds:schemaRef ds:uri="http://purl.org/dc/terms/"/>
    <ds:schemaRef ds:uri="http://schemas.microsoft.com/office/2006/metadata/properties"/>
    <ds:schemaRef ds:uri="d758baea-510e-4597-bb40-a09e4fc0f415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5bf7610-0a90-45dc-b926-1b234e6c675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work 2-3</vt:lpstr>
      <vt:lpstr>work 2-3 Key</vt:lpstr>
      <vt:lpstr>own 2-3</vt:lpstr>
      <vt:lpstr>own 2-3 Key</vt:lpstr>
      <vt:lpstr>answer1</vt:lpstr>
      <vt:lpstr>answers</vt:lpstr>
      <vt:lpstr>'own 2-3'!Print_Area</vt:lpstr>
      <vt:lpstr>'own 2-3 Key'!Print_Area</vt:lpstr>
      <vt:lpstr>'work 2-3'!Print_Area</vt:lpstr>
      <vt:lpstr>'work 2-3 Key'!Print_Area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2011-09-22T15:16:48Z</cp:lastPrinted>
  <dcterms:created xsi:type="dcterms:W3CDTF">2007-08-13T18:45:30Z</dcterms:created>
  <dcterms:modified xsi:type="dcterms:W3CDTF">2023-09-19T21:43:34Z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3600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TriggerFlowInfo">
    <vt:lpwstr/>
  </property>
</Properties>
</file>