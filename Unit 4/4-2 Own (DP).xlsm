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4/"/>
    </mc:Choice>
  </mc:AlternateContent>
  <xr:revisionPtr revIDLastSave="49" documentId="8_{31869E22-4A20-4DA4-810D-55782A1D2739}" xr6:coauthVersionLast="47" xr6:coauthVersionMax="47" xr10:uidLastSave="{5C7BB655-38CF-4054-87AD-EB88CE03B484}"/>
  <bookViews>
    <workbookView xWindow="-120" yWindow="-120" windowWidth="21840" windowHeight="13140" firstSheet="1" activeTab="1" xr2:uid="{00000000-000D-0000-FFFF-FFFF00000000}"/>
  </bookViews>
  <sheets>
    <sheet name="own 4-2 General Journal KEY" sheetId="4" state="hidden" r:id="rId1"/>
    <sheet name="own 4-2 General Journal" sheetId="15" r:id="rId2"/>
    <sheet name="own 4-2 General Ledger" sheetId="16" r:id="rId3"/>
  </sheets>
  <externalReferences>
    <externalReference r:id="rId4"/>
  </externalReferences>
  <definedNames>
    <definedName name="answer2" localSheetId="2">'own 4-2 General Ledger'!$B$9:$I$14,'own 4-2 General Ledger'!$B$22:$I$25,'own 4-2 General Ledger'!$B$33:$I$36,'own 4-2 General Ledger'!$B$44:$I$47,'own 4-2 General Ledger'!$B$61:$I$62,'own 4-2 General Ledger'!$B$69:$I$70,'own 4-2 General Ledger'!$B$77:$I$78</definedName>
    <definedName name="answer2">#REF!,#REF!,#REF!,#REF!,#REF!,#REF!,#REF!</definedName>
    <definedName name="answer3">'[1]2-2 Accounts Receivable Ledger'!$B$7:$H$10,'[1]2-2 Accounts Receivable Ledger'!$B$17:$H$20,'[1]2-2 Accounts Receivable Ledger'!$B$27:$H$30</definedName>
    <definedName name="total2" localSheetId="2">'own 4-2 General Ledger'!$D$15:$I$15,'own 4-2 General Ledger'!$D$26:$I$26,'own 4-2 General Ledger'!$D$37:$I$37,'own 4-2 General Ledger'!$D$48:$I$48,'own 4-2 General Ledger'!$D$63:$I$63,'own 4-2 General Ledger'!$D$71:$I$71,'own 4-2 General Ledger'!$D$79:$I$79</definedName>
    <definedName name="total2">#REF!,#REF!,#REF!,#REF!,#REF!,#REF!,#REF!</definedName>
    <definedName name="total3">'[1]2-2 Accounts Receivable Ledger'!$D$11:$H$11,'[1]2-2 Accounts Receivable Ledger'!$D$21:$H$21,'[1]2-2 Accounts Receivable Ledger'!$D$31:$H$31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5" i="16" l="1"/>
  <c r="H23" i="16"/>
  <c r="H14" i="16"/>
  <c r="H13" i="16"/>
  <c r="I62" i="16"/>
  <c r="H12" i="16"/>
  <c r="I86" i="16"/>
  <c r="H11" i="16"/>
  <c r="H10" i="16"/>
  <c r="D55" i="16"/>
  <c r="I10" i="15"/>
  <c r="I11" i="15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I24" i="15" s="1"/>
  <c r="I25" i="15" s="1"/>
  <c r="I26" i="15" s="1"/>
  <c r="I27" i="15" s="1"/>
  <c r="I28" i="15" s="1"/>
  <c r="I29" i="15" s="1"/>
  <c r="I30" i="15" s="1"/>
  <c r="I31" i="15" s="1"/>
  <c r="I32" i="15" s="1"/>
  <c r="I33" i="15" s="1"/>
  <c r="I34" i="15" s="1"/>
  <c r="I35" i="15" s="1"/>
  <c r="I36" i="15" s="1"/>
  <c r="I37" i="15" s="1"/>
  <c r="I38" i="15" s="1"/>
  <c r="I39" i="15" s="1"/>
  <c r="I40" i="15" s="1"/>
  <c r="I41" i="15" s="1"/>
  <c r="A10" i="15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10" i="4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I10" i="4"/>
  <c r="I11" i="4"/>
  <c r="I12" i="4" s="1"/>
  <c r="I13" i="4" s="1"/>
  <c r="I14" i="4" s="1"/>
  <c r="I15" i="4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</calcChain>
</file>

<file path=xl/sharedStrings.xml><?xml version="1.0" encoding="utf-8"?>
<sst xmlns="http://schemas.openxmlformats.org/spreadsheetml/2006/main" count="226" uniqueCount="50">
  <si>
    <t>Name:</t>
  </si>
  <si>
    <t>GENERAL JOURNAL</t>
  </si>
  <si>
    <t>PAGE</t>
  </si>
  <si>
    <t>DOC.</t>
  </si>
  <si>
    <t>POST.</t>
  </si>
  <si>
    <t>GENERAL</t>
  </si>
  <si>
    <t>DATE</t>
  </si>
  <si>
    <t>ACCOUNT TITLE</t>
  </si>
  <si>
    <t>NO.</t>
  </si>
  <si>
    <t>REF.</t>
  </si>
  <si>
    <t>DEBIT</t>
  </si>
  <si>
    <t>CREDIT</t>
  </si>
  <si>
    <t>KEY</t>
  </si>
  <si>
    <t>Sales</t>
  </si>
  <si>
    <t>on your own 4-2</t>
  </si>
  <si>
    <t>page 101 textbook, page 62 workbook</t>
  </si>
  <si>
    <t>ACCOUNT</t>
  </si>
  <si>
    <t>Cash</t>
  </si>
  <si>
    <t>ACCOUNT NO.</t>
  </si>
  <si>
    <t>BALANCE</t>
  </si>
  <si>
    <t>ITEM</t>
  </si>
  <si>
    <t>Supplies</t>
  </si>
  <si>
    <t>Prepaid Insurance</t>
  </si>
  <si>
    <t xml:space="preserve">Name:  </t>
  </si>
  <si>
    <t>Advertising Expense</t>
  </si>
  <si>
    <t>Heather Hasley, Capital</t>
  </si>
  <si>
    <t>Heather Hasley, Drawing</t>
  </si>
  <si>
    <t>Sept</t>
  </si>
  <si>
    <t>A/P - Bodden Company</t>
  </si>
  <si>
    <t>A/R - Ken Garlie</t>
  </si>
  <si>
    <t>R1</t>
  </si>
  <si>
    <t>M1</t>
  </si>
  <si>
    <t>C1</t>
  </si>
  <si>
    <t>S1</t>
  </si>
  <si>
    <t>T13</t>
  </si>
  <si>
    <t>C2</t>
  </si>
  <si>
    <t>C3</t>
  </si>
  <si>
    <t>R2</t>
  </si>
  <si>
    <t>C4</t>
  </si>
  <si>
    <t>page 108 textbook</t>
  </si>
  <si>
    <t>Oct</t>
  </si>
  <si>
    <t>Helen Orr, Capital</t>
  </si>
  <si>
    <t>A/P - Stein Company</t>
  </si>
  <si>
    <t>A/R - K. Green</t>
  </si>
  <si>
    <t>Helen Orr, Drawing</t>
  </si>
  <si>
    <t>Accounts Receivable - K. Green</t>
  </si>
  <si>
    <t>Accounts Payable - Stein Company</t>
  </si>
  <si>
    <t xml:space="preserve">Oct </t>
  </si>
  <si>
    <t>G1</t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</si>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</sst>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sz val="6"/>
      <name val="Arial"/>
    </font>
    <font>
      <sz val="9"/>
      <name val="Arial"/>
    </font>
    <font>
      <sz val="11"/>
      <name val="Arial"/>
      <family val="2"/>
    </font>
    <font>
      <b/>
      <sz val="12"/>
      <name val="Arial"/>
      <family val="2"/>
    </font>
    <font>
      <sz val="11"/>
      <name val="Arial"/>
    </font>
    <font>
      <sz val="8"/>
      <name val="Arial"/>
      <family val="2"/>
    </font>
    <font>
      <sz val="12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4">
    <xf numFmtId="0" fontId="0" fillId="0" borderId="0" xfId="0"/>
    <xf numFmtId="0" fontId="3" fillId="0" borderId="0" xfId="0" applyFont="1" applyBorder="1"/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0" xfId="0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1" fillId="0" borderId="0" xfId="0" applyFont="1"/>
    <xf numFmtId="0" fontId="4" fillId="0" borderId="2" xfId="0" applyFont="1" applyBorder="1"/>
    <xf numFmtId="0" fontId="4" fillId="0" borderId="2" xfId="0" applyFont="1" applyBorder="1" applyAlignment="1">
      <alignment horizontal="center"/>
    </xf>
    <xf numFmtId="0" fontId="4" fillId="0" borderId="0" xfId="0" applyFont="1"/>
    <xf numFmtId="0" fontId="5" fillId="0" borderId="3" xfId="0" applyFont="1" applyBorder="1"/>
    <xf numFmtId="0" fontId="5" fillId="0" borderId="4" xfId="0" applyFont="1" applyBorder="1"/>
    <xf numFmtId="0" fontId="5" fillId="0" borderId="0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5" fillId="0" borderId="6" xfId="0" applyFont="1" applyBorder="1"/>
    <xf numFmtId="0" fontId="5" fillId="0" borderId="7" xfId="0" applyFont="1" applyBorder="1" applyAlignment="1">
      <alignment horizontal="centerContinuous"/>
    </xf>
    <xf numFmtId="0" fontId="5" fillId="0" borderId="8" xfId="0" applyFont="1" applyBorder="1" applyAlignment="1">
      <alignment horizontal="centerContinuous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7" xfId="0" applyFont="1" applyBorder="1"/>
    <xf numFmtId="0" fontId="4" fillId="0" borderId="11" xfId="0" applyFont="1" applyBorder="1"/>
    <xf numFmtId="0" fontId="6" fillId="0" borderId="12" xfId="0" applyFont="1" applyBorder="1" applyProtection="1"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3" xfId="0" applyFont="1" applyBorder="1" applyProtection="1">
      <protection locked="0"/>
    </xf>
    <xf numFmtId="43" fontId="6" fillId="0" borderId="13" xfId="1" applyFont="1" applyBorder="1" applyProtection="1">
      <protection locked="0"/>
    </xf>
    <xf numFmtId="0" fontId="4" fillId="0" borderId="14" xfId="0" applyFont="1" applyBorder="1" applyAlignment="1">
      <alignment horizontal="left"/>
    </xf>
    <xf numFmtId="0" fontId="4" fillId="0" borderId="15" xfId="0" applyFont="1" applyBorder="1"/>
    <xf numFmtId="0" fontId="6" fillId="0" borderId="16" xfId="0" applyFont="1" applyBorder="1" applyProtection="1"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6" fillId="0" borderId="17" xfId="0" applyFont="1" applyBorder="1" applyProtection="1">
      <protection locked="0"/>
    </xf>
    <xf numFmtId="43" fontId="6" fillId="0" borderId="17" xfId="1" applyFont="1" applyBorder="1" applyProtection="1">
      <protection locked="0"/>
    </xf>
    <xf numFmtId="0" fontId="4" fillId="0" borderId="18" xfId="0" applyFont="1" applyBorder="1" applyAlignment="1">
      <alignment horizontal="left"/>
    </xf>
    <xf numFmtId="0" fontId="2" fillId="0" borderId="0" xfId="0" applyFont="1" applyBorder="1"/>
    <xf numFmtId="0" fontId="6" fillId="0" borderId="17" xfId="0" applyFont="1" applyBorder="1" applyAlignment="1" applyProtection="1">
      <alignment horizontal="left" indent="1"/>
      <protection locked="0"/>
    </xf>
    <xf numFmtId="0" fontId="7" fillId="0" borderId="1" xfId="0" applyFont="1" applyBorder="1" applyAlignment="1" applyProtection="1">
      <alignment horizontal="left"/>
      <protection locked="0"/>
    </xf>
    <xf numFmtId="0" fontId="3" fillId="0" borderId="1" xfId="0" applyFon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6" fillId="0" borderId="17" xfId="0" applyFont="1" applyBorder="1" applyAlignment="1" applyProtection="1">
      <alignment horizontal="left"/>
      <protection locked="0"/>
    </xf>
    <xf numFmtId="0" fontId="7" fillId="0" borderId="1" xfId="0" applyFont="1" applyBorder="1"/>
    <xf numFmtId="0" fontId="3" fillId="0" borderId="1" xfId="0" applyFont="1" applyBorder="1"/>
    <xf numFmtId="0" fontId="2" fillId="0" borderId="1" xfId="0" applyFont="1" applyBorder="1" applyAlignment="1">
      <alignment horizontal="right"/>
    </xf>
    <xf numFmtId="0" fontId="8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Continuous"/>
    </xf>
    <xf numFmtId="0" fontId="2" fillId="0" borderId="11" xfId="0" applyFont="1" applyBorder="1" applyAlignment="1">
      <alignment horizontal="centerContinuous"/>
    </xf>
    <xf numFmtId="0" fontId="2" fillId="0" borderId="7" xfId="0" applyFont="1" applyBorder="1" applyAlignment="1">
      <alignment horizontal="centerContinuous"/>
    </xf>
    <xf numFmtId="0" fontId="2" fillId="0" borderId="8" xfId="0" applyFont="1" applyBorder="1" applyAlignment="1">
      <alignment horizontal="centerContinuous"/>
    </xf>
    <xf numFmtId="0" fontId="2" fillId="0" borderId="9" xfId="0" applyFont="1" applyBorder="1" applyAlignment="1">
      <alignment horizontal="center"/>
    </xf>
    <xf numFmtId="0" fontId="6" fillId="0" borderId="16" xfId="0" applyFont="1" applyBorder="1"/>
    <xf numFmtId="0" fontId="6" fillId="0" borderId="17" xfId="0" applyFont="1" applyBorder="1" applyAlignment="1">
      <alignment horizontal="center"/>
    </xf>
    <xf numFmtId="0" fontId="6" fillId="0" borderId="17" xfId="0" applyFont="1" applyBorder="1" applyProtection="1"/>
    <xf numFmtId="0" fontId="6" fillId="0" borderId="17" xfId="0" applyFont="1" applyBorder="1" applyAlignment="1" applyProtection="1">
      <alignment horizontal="center"/>
    </xf>
    <xf numFmtId="43" fontId="6" fillId="0" borderId="17" xfId="1" applyFont="1" applyBorder="1" applyProtection="1"/>
    <xf numFmtId="0" fontId="9" fillId="0" borderId="0" xfId="0" applyFont="1"/>
    <xf numFmtId="0" fontId="9" fillId="0" borderId="1" xfId="0" applyFont="1" applyBorder="1" applyAlignment="1">
      <alignment horizontal="right"/>
    </xf>
    <xf numFmtId="0" fontId="6" fillId="0" borderId="0" xfId="0" applyFont="1"/>
    <xf numFmtId="0" fontId="9" fillId="0" borderId="2" xfId="0" applyFont="1" applyBorder="1"/>
    <xf numFmtId="0" fontId="9" fillId="0" borderId="1" xfId="0" applyFont="1" applyBorder="1" applyAlignment="1">
      <alignment horizontal="centerContinuous"/>
    </xf>
    <xf numFmtId="0" fontId="9" fillId="0" borderId="11" xfId="0" applyFont="1" applyBorder="1" applyAlignment="1">
      <alignment horizontal="centerContinuous"/>
    </xf>
    <xf numFmtId="0" fontId="9" fillId="0" borderId="9" xfId="0" applyFont="1" applyBorder="1" applyAlignment="1">
      <alignment horizontal="center"/>
    </xf>
    <xf numFmtId="39" fontId="6" fillId="0" borderId="17" xfId="1" applyNumberFormat="1" applyFont="1" applyBorder="1" applyProtection="1"/>
    <xf numFmtId="0" fontId="10" fillId="0" borderId="0" xfId="0" applyFont="1" applyAlignment="1">
      <alignment horizontal="right"/>
    </xf>
    <xf numFmtId="0" fontId="7" fillId="0" borderId="1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43" fontId="6" fillId="0" borderId="13" xfId="1" applyFont="1" applyBorder="1" applyAlignment="1" applyProtection="1">
      <alignment horizontal="center"/>
      <protection locked="0"/>
    </xf>
    <xf numFmtId="43" fontId="6" fillId="0" borderId="17" xfId="1" applyFont="1" applyBorder="1" applyAlignment="1" applyProtection="1">
      <alignment horizontal="center"/>
      <protection locked="0"/>
    </xf>
    <xf numFmtId="0" fontId="11" fillId="0" borderId="13" xfId="0" applyFont="1" applyBorder="1" applyProtection="1">
      <protection locked="0"/>
    </xf>
    <xf numFmtId="0" fontId="11" fillId="0" borderId="17" xfId="0" applyFont="1" applyBorder="1" applyProtection="1"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>
        <row r="7">
          <cell r="B7" t="str">
            <v>Feb</v>
          </cell>
          <cell r="C7">
            <v>1</v>
          </cell>
          <cell r="D7" t="str">
            <v>Balance</v>
          </cell>
          <cell r="E7" t="str">
            <v>P</v>
          </cell>
          <cell r="H7">
            <v>3286</v>
          </cell>
        </row>
        <row r="11">
          <cell r="D11" t="str">
            <v>Check your total</v>
          </cell>
          <cell r="H11">
            <v>318</v>
          </cell>
        </row>
        <row r="17">
          <cell r="B17" t="str">
            <v>Feb</v>
          </cell>
          <cell r="C17">
            <v>1</v>
          </cell>
          <cell r="D17" t="str">
            <v>Balance</v>
          </cell>
          <cell r="E17" t="str">
            <v>P</v>
          </cell>
          <cell r="H17">
            <v>848</v>
          </cell>
        </row>
        <row r="21">
          <cell r="D21" t="str">
            <v>Check your total</v>
          </cell>
          <cell r="H21">
            <v>0</v>
          </cell>
        </row>
        <row r="27">
          <cell r="B27" t="str">
            <v>Feb</v>
          </cell>
          <cell r="C27">
            <v>1</v>
          </cell>
          <cell r="D27" t="str">
            <v>Balance</v>
          </cell>
          <cell r="E27" t="str">
            <v>P</v>
          </cell>
          <cell r="H27">
            <v>1590</v>
          </cell>
        </row>
        <row r="31">
          <cell r="D31" t="str">
            <v>Check your total</v>
          </cell>
          <cell r="H31">
            <v>318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I41"/>
  <sheetViews>
    <sheetView workbookViewId="0">
      <selection activeCell="D3" sqref="D3"/>
    </sheetView>
  </sheetViews>
  <sheetFormatPr defaultRowHeight="11.25" x14ac:dyDescent="0.2"/>
  <cols>
    <col min="1" max="1" width="2.7109375" style="36" customWidth="1"/>
    <col min="2" max="2" width="5.42578125" style="4" customWidth="1"/>
    <col min="3" max="3" width="3.28515625" style="4" customWidth="1"/>
    <col min="4" max="4" width="50.7109375" style="4" customWidth="1"/>
    <col min="5" max="5" width="6.28515625" style="4" customWidth="1"/>
    <col min="6" max="6" width="6.5703125" style="4" customWidth="1"/>
    <col min="7" max="8" width="12.7109375" style="4" customWidth="1"/>
    <col min="9" max="9" width="2.7109375" style="4" customWidth="1"/>
    <col min="10" max="16384" width="9.140625" style="4"/>
  </cols>
  <sheetData>
    <row r="1" spans="1:9" ht="15" customHeight="1" x14ac:dyDescent="0.25">
      <c r="A1" s="1" t="s">
        <v>14</v>
      </c>
      <c r="B1" s="2"/>
      <c r="C1" s="2"/>
      <c r="D1" s="2"/>
      <c r="E1" s="3" t="s">
        <v>0</v>
      </c>
      <c r="F1" s="38" t="s">
        <v>12</v>
      </c>
      <c r="G1" s="39"/>
      <c r="H1" s="2"/>
      <c r="I1" s="2"/>
    </row>
    <row r="2" spans="1:9" ht="15" customHeight="1" x14ac:dyDescent="0.2">
      <c r="A2" s="1" t="s">
        <v>15</v>
      </c>
      <c r="B2" s="2"/>
      <c r="C2" s="2"/>
      <c r="D2" s="2"/>
      <c r="E2" s="2"/>
      <c r="F2" s="2"/>
      <c r="G2" s="2"/>
      <c r="H2" s="2"/>
      <c r="I2" s="2"/>
    </row>
    <row r="3" spans="1:9" ht="15" customHeight="1" x14ac:dyDescent="0.2">
      <c r="A3" s="1"/>
      <c r="B3" s="2"/>
      <c r="C3" s="2"/>
      <c r="D3" s="2"/>
      <c r="E3" s="2"/>
      <c r="F3" s="2"/>
      <c r="G3" s="2"/>
      <c r="H3" s="2"/>
      <c r="I3" s="2"/>
    </row>
    <row r="5" spans="1:9" s="8" customFormat="1" ht="15" x14ac:dyDescent="0.2">
      <c r="A5" s="5"/>
      <c r="B5" s="5"/>
      <c r="C5" s="5"/>
      <c r="D5" s="6" t="s">
        <v>1</v>
      </c>
      <c r="E5" s="5"/>
      <c r="F5" s="5"/>
      <c r="G5" s="7" t="s">
        <v>2</v>
      </c>
      <c r="H5" s="40">
        <v>1</v>
      </c>
      <c r="I5" s="5"/>
    </row>
    <row r="6" spans="1:9" s="11" customFormat="1" ht="9" thickBot="1" x14ac:dyDescent="0.2">
      <c r="A6" s="9"/>
      <c r="B6" s="9"/>
      <c r="C6" s="9"/>
      <c r="D6" s="9"/>
      <c r="E6" s="9"/>
      <c r="F6" s="9"/>
      <c r="G6" s="10">
        <v>1</v>
      </c>
      <c r="H6" s="10">
        <v>2</v>
      </c>
      <c r="I6" s="9"/>
    </row>
    <row r="7" spans="1:9" ht="12.95" customHeight="1" thickTop="1" x14ac:dyDescent="0.2">
      <c r="A7" s="12"/>
      <c r="B7" s="13"/>
      <c r="C7" s="14"/>
      <c r="D7" s="15"/>
      <c r="E7" s="15" t="s">
        <v>3</v>
      </c>
      <c r="F7" s="15" t="s">
        <v>4</v>
      </c>
      <c r="G7" s="16" t="s">
        <v>5</v>
      </c>
      <c r="H7" s="17"/>
      <c r="I7" s="13"/>
    </row>
    <row r="8" spans="1:9" ht="12.95" customHeight="1" thickBot="1" x14ac:dyDescent="0.25">
      <c r="A8" s="18"/>
      <c r="B8" s="19" t="s">
        <v>6</v>
      </c>
      <c r="C8" s="20"/>
      <c r="D8" s="21" t="s">
        <v>7</v>
      </c>
      <c r="E8" s="21" t="s">
        <v>8</v>
      </c>
      <c r="F8" s="21" t="s">
        <v>9</v>
      </c>
      <c r="G8" s="22" t="s">
        <v>10</v>
      </c>
      <c r="H8" s="22" t="s">
        <v>11</v>
      </c>
      <c r="I8" s="23"/>
    </row>
    <row r="9" spans="1:9" ht="15.95" customHeight="1" thickTop="1" x14ac:dyDescent="0.2">
      <c r="A9" s="24">
        <v>1</v>
      </c>
      <c r="B9" s="25" t="s">
        <v>27</v>
      </c>
      <c r="C9" s="26">
        <v>1</v>
      </c>
      <c r="D9" s="27" t="s">
        <v>17</v>
      </c>
      <c r="E9" s="26" t="s">
        <v>30</v>
      </c>
      <c r="F9" s="27">
        <v>110</v>
      </c>
      <c r="G9" s="28">
        <v>4500</v>
      </c>
      <c r="H9" s="28"/>
      <c r="I9" s="29">
        <v>1</v>
      </c>
    </row>
    <row r="10" spans="1:9" ht="15.95" customHeight="1" x14ac:dyDescent="0.2">
      <c r="A10" s="30">
        <f t="shared" ref="A10:A23" si="0">A9+1</f>
        <v>2</v>
      </c>
      <c r="B10" s="31"/>
      <c r="C10" s="32"/>
      <c r="D10" s="37" t="s">
        <v>25</v>
      </c>
      <c r="E10" s="32"/>
      <c r="F10" s="33">
        <v>310</v>
      </c>
      <c r="G10" s="34"/>
      <c r="H10" s="34">
        <v>4500</v>
      </c>
      <c r="I10" s="35">
        <f t="shared" ref="I10:I23" si="1">I9+1</f>
        <v>2</v>
      </c>
    </row>
    <row r="11" spans="1:9" ht="15.95" customHeight="1" x14ac:dyDescent="0.2">
      <c r="A11" s="30">
        <f t="shared" si="0"/>
        <v>3</v>
      </c>
      <c r="B11" s="31"/>
      <c r="C11" s="32">
        <v>4</v>
      </c>
      <c r="D11" s="33" t="s">
        <v>21</v>
      </c>
      <c r="E11" s="32" t="s">
        <v>31</v>
      </c>
      <c r="F11" s="33">
        <v>130</v>
      </c>
      <c r="G11" s="34">
        <v>67</v>
      </c>
      <c r="H11" s="34"/>
      <c r="I11" s="35">
        <f t="shared" si="1"/>
        <v>3</v>
      </c>
    </row>
    <row r="12" spans="1:9" ht="15.95" customHeight="1" x14ac:dyDescent="0.2">
      <c r="A12" s="24">
        <f t="shared" si="0"/>
        <v>4</v>
      </c>
      <c r="B12" s="25"/>
      <c r="C12" s="26"/>
      <c r="D12" s="37" t="s">
        <v>28</v>
      </c>
      <c r="E12" s="26"/>
      <c r="F12" s="27">
        <v>210</v>
      </c>
      <c r="G12" s="28"/>
      <c r="H12" s="28">
        <v>67</v>
      </c>
      <c r="I12" s="29">
        <f t="shared" si="1"/>
        <v>4</v>
      </c>
    </row>
    <row r="13" spans="1:9" ht="15.95" customHeight="1" x14ac:dyDescent="0.2">
      <c r="A13" s="30">
        <f t="shared" si="0"/>
        <v>5</v>
      </c>
      <c r="B13" s="31"/>
      <c r="C13" s="32">
        <v>7</v>
      </c>
      <c r="D13" s="33" t="s">
        <v>22</v>
      </c>
      <c r="E13" s="32" t="s">
        <v>32</v>
      </c>
      <c r="F13" s="33">
        <v>140</v>
      </c>
      <c r="G13" s="34">
        <v>300</v>
      </c>
      <c r="H13" s="34"/>
      <c r="I13" s="35">
        <f t="shared" si="1"/>
        <v>5</v>
      </c>
    </row>
    <row r="14" spans="1:9" ht="15.95" customHeight="1" x14ac:dyDescent="0.2">
      <c r="A14" s="30">
        <f t="shared" si="0"/>
        <v>6</v>
      </c>
      <c r="B14" s="31"/>
      <c r="C14" s="32"/>
      <c r="D14" s="37" t="s">
        <v>17</v>
      </c>
      <c r="E14" s="32"/>
      <c r="F14" s="33">
        <v>110</v>
      </c>
      <c r="G14" s="34"/>
      <c r="H14" s="34">
        <v>300</v>
      </c>
      <c r="I14" s="35">
        <f t="shared" si="1"/>
        <v>6</v>
      </c>
    </row>
    <row r="15" spans="1:9" ht="15.95" customHeight="1" x14ac:dyDescent="0.2">
      <c r="A15" s="24">
        <f t="shared" si="0"/>
        <v>7</v>
      </c>
      <c r="B15" s="25"/>
      <c r="C15" s="26">
        <v>10</v>
      </c>
      <c r="D15" s="27" t="s">
        <v>29</v>
      </c>
      <c r="E15" s="26" t="s">
        <v>33</v>
      </c>
      <c r="F15" s="27">
        <v>120</v>
      </c>
      <c r="G15" s="28">
        <v>195</v>
      </c>
      <c r="H15" s="28"/>
      <c r="I15" s="29">
        <f t="shared" si="1"/>
        <v>7</v>
      </c>
    </row>
    <row r="16" spans="1:9" ht="15.95" customHeight="1" x14ac:dyDescent="0.2">
      <c r="A16" s="30">
        <f t="shared" si="0"/>
        <v>8</v>
      </c>
      <c r="B16" s="31"/>
      <c r="C16" s="32"/>
      <c r="D16" s="37" t="s">
        <v>13</v>
      </c>
      <c r="E16" s="32"/>
      <c r="F16" s="33">
        <v>410</v>
      </c>
      <c r="G16" s="34"/>
      <c r="H16" s="34">
        <v>195</v>
      </c>
      <c r="I16" s="35">
        <f t="shared" si="1"/>
        <v>8</v>
      </c>
    </row>
    <row r="17" spans="1:9" ht="15.95" customHeight="1" x14ac:dyDescent="0.2">
      <c r="A17" s="30">
        <f t="shared" si="0"/>
        <v>9</v>
      </c>
      <c r="B17" s="31"/>
      <c r="C17" s="32">
        <v>13</v>
      </c>
      <c r="D17" s="33" t="s">
        <v>17</v>
      </c>
      <c r="E17" s="32" t="s">
        <v>34</v>
      </c>
      <c r="F17" s="33">
        <v>110</v>
      </c>
      <c r="G17" s="34">
        <v>1200</v>
      </c>
      <c r="H17" s="34"/>
      <c r="I17" s="35">
        <f t="shared" si="1"/>
        <v>9</v>
      </c>
    </row>
    <row r="18" spans="1:9" ht="15.95" customHeight="1" x14ac:dyDescent="0.2">
      <c r="A18" s="24">
        <f t="shared" si="0"/>
        <v>10</v>
      </c>
      <c r="B18" s="25"/>
      <c r="C18" s="26"/>
      <c r="D18" s="37" t="s">
        <v>13</v>
      </c>
      <c r="E18" s="26"/>
      <c r="F18" s="27">
        <v>410</v>
      </c>
      <c r="G18" s="28"/>
      <c r="H18" s="28">
        <v>1200</v>
      </c>
      <c r="I18" s="29">
        <f t="shared" si="1"/>
        <v>10</v>
      </c>
    </row>
    <row r="19" spans="1:9" ht="15.95" customHeight="1" x14ac:dyDescent="0.2">
      <c r="A19" s="30">
        <f t="shared" si="0"/>
        <v>11</v>
      </c>
      <c r="B19" s="31"/>
      <c r="C19" s="32">
        <v>18</v>
      </c>
      <c r="D19" s="33" t="s">
        <v>24</v>
      </c>
      <c r="E19" s="32" t="s">
        <v>35</v>
      </c>
      <c r="F19" s="33">
        <v>510</v>
      </c>
      <c r="G19" s="34">
        <v>49</v>
      </c>
      <c r="H19" s="34"/>
      <c r="I19" s="35">
        <f t="shared" si="1"/>
        <v>11</v>
      </c>
    </row>
    <row r="20" spans="1:9" ht="15.95" customHeight="1" x14ac:dyDescent="0.2">
      <c r="A20" s="30">
        <f t="shared" si="0"/>
        <v>12</v>
      </c>
      <c r="B20" s="31"/>
      <c r="C20" s="26"/>
      <c r="D20" s="37" t="s">
        <v>17</v>
      </c>
      <c r="E20" s="26"/>
      <c r="F20" s="27">
        <v>110</v>
      </c>
      <c r="G20" s="28"/>
      <c r="H20" s="28">
        <v>49</v>
      </c>
      <c r="I20" s="35">
        <f t="shared" si="1"/>
        <v>12</v>
      </c>
    </row>
    <row r="21" spans="1:9" ht="15.95" customHeight="1" x14ac:dyDescent="0.2">
      <c r="A21" s="24">
        <f t="shared" si="0"/>
        <v>13</v>
      </c>
      <c r="B21" s="25"/>
      <c r="C21" s="32">
        <v>21</v>
      </c>
      <c r="D21" s="33" t="s">
        <v>28</v>
      </c>
      <c r="E21" s="32" t="s">
        <v>36</v>
      </c>
      <c r="F21" s="33">
        <v>210</v>
      </c>
      <c r="G21" s="34">
        <v>35</v>
      </c>
      <c r="H21" s="34"/>
      <c r="I21" s="29">
        <f t="shared" si="1"/>
        <v>13</v>
      </c>
    </row>
    <row r="22" spans="1:9" ht="15.95" customHeight="1" x14ac:dyDescent="0.2">
      <c r="A22" s="30">
        <f t="shared" si="0"/>
        <v>14</v>
      </c>
      <c r="B22" s="31"/>
      <c r="C22" s="32"/>
      <c r="D22" s="37" t="s">
        <v>17</v>
      </c>
      <c r="E22" s="32"/>
      <c r="F22" s="33">
        <v>110</v>
      </c>
      <c r="G22" s="34"/>
      <c r="H22" s="34">
        <v>35</v>
      </c>
      <c r="I22" s="35">
        <f t="shared" si="1"/>
        <v>14</v>
      </c>
    </row>
    <row r="23" spans="1:9" ht="15.95" customHeight="1" x14ac:dyDescent="0.2">
      <c r="A23" s="30">
        <f t="shared" si="0"/>
        <v>15</v>
      </c>
      <c r="B23" s="31"/>
      <c r="C23" s="26">
        <v>27</v>
      </c>
      <c r="D23" s="33" t="s">
        <v>17</v>
      </c>
      <c r="E23" s="26" t="s">
        <v>37</v>
      </c>
      <c r="F23" s="27">
        <v>110</v>
      </c>
      <c r="G23" s="28">
        <v>100</v>
      </c>
      <c r="H23" s="28"/>
      <c r="I23" s="35">
        <f t="shared" si="1"/>
        <v>15</v>
      </c>
    </row>
    <row r="24" spans="1:9" ht="14.25" x14ac:dyDescent="0.2">
      <c r="A24" s="30">
        <f>A23+1</f>
        <v>16</v>
      </c>
      <c r="B24" s="31"/>
      <c r="C24" s="32"/>
      <c r="D24" s="37" t="s">
        <v>29</v>
      </c>
      <c r="E24" s="32"/>
      <c r="F24" s="33">
        <v>120</v>
      </c>
      <c r="G24" s="34"/>
      <c r="H24" s="34">
        <v>100</v>
      </c>
      <c r="I24" s="35">
        <f>I23+1</f>
        <v>16</v>
      </c>
    </row>
    <row r="25" spans="1:9" ht="14.25" x14ac:dyDescent="0.2">
      <c r="A25" s="30">
        <f t="shared" ref="A25:A41" si="2">A24+1</f>
        <v>17</v>
      </c>
      <c r="B25" s="31"/>
      <c r="C25" s="32">
        <v>30</v>
      </c>
      <c r="D25" s="33" t="s">
        <v>26</v>
      </c>
      <c r="E25" s="32" t="s">
        <v>38</v>
      </c>
      <c r="F25" s="33">
        <v>320</v>
      </c>
      <c r="G25" s="34">
        <v>1300</v>
      </c>
      <c r="H25" s="34"/>
      <c r="I25" s="35">
        <f t="shared" ref="I25:I41" si="3">I24+1</f>
        <v>17</v>
      </c>
    </row>
    <row r="26" spans="1:9" ht="14.25" x14ac:dyDescent="0.2">
      <c r="A26" s="30">
        <f t="shared" si="2"/>
        <v>18</v>
      </c>
      <c r="B26" s="31"/>
      <c r="C26" s="32"/>
      <c r="D26" s="37" t="s">
        <v>17</v>
      </c>
      <c r="E26" s="33"/>
      <c r="F26" s="33">
        <v>110</v>
      </c>
      <c r="G26" s="34"/>
      <c r="H26" s="34">
        <v>1300</v>
      </c>
      <c r="I26" s="35">
        <f t="shared" si="3"/>
        <v>18</v>
      </c>
    </row>
    <row r="27" spans="1:9" ht="14.25" x14ac:dyDescent="0.2">
      <c r="A27" s="30">
        <f t="shared" si="2"/>
        <v>19</v>
      </c>
      <c r="B27" s="31"/>
      <c r="C27" s="32"/>
      <c r="D27" s="27"/>
      <c r="E27" s="33"/>
      <c r="F27" s="33"/>
      <c r="G27" s="34"/>
      <c r="H27" s="34"/>
      <c r="I27" s="35">
        <f t="shared" si="3"/>
        <v>19</v>
      </c>
    </row>
    <row r="28" spans="1:9" ht="14.25" x14ac:dyDescent="0.2">
      <c r="A28" s="30">
        <f t="shared" si="2"/>
        <v>20</v>
      </c>
      <c r="B28" s="31"/>
      <c r="C28" s="32"/>
      <c r="D28" s="41"/>
      <c r="E28" s="33"/>
      <c r="F28" s="33"/>
      <c r="G28" s="34"/>
      <c r="H28" s="34"/>
      <c r="I28" s="35">
        <f t="shared" si="3"/>
        <v>20</v>
      </c>
    </row>
    <row r="29" spans="1:9" ht="14.25" x14ac:dyDescent="0.2">
      <c r="A29" s="30">
        <f t="shared" si="2"/>
        <v>21</v>
      </c>
      <c r="B29" s="31"/>
      <c r="C29" s="32"/>
      <c r="D29" s="33"/>
      <c r="E29" s="33"/>
      <c r="F29" s="33"/>
      <c r="G29" s="34"/>
      <c r="H29" s="34"/>
      <c r="I29" s="35">
        <f t="shared" si="3"/>
        <v>21</v>
      </c>
    </row>
    <row r="30" spans="1:9" ht="14.25" x14ac:dyDescent="0.2">
      <c r="A30" s="30">
        <f t="shared" si="2"/>
        <v>22</v>
      </c>
      <c r="B30" s="31"/>
      <c r="C30" s="32"/>
      <c r="D30" s="41"/>
      <c r="E30" s="33"/>
      <c r="F30" s="33"/>
      <c r="G30" s="34"/>
      <c r="H30" s="34"/>
      <c r="I30" s="35">
        <f t="shared" si="3"/>
        <v>22</v>
      </c>
    </row>
    <row r="31" spans="1:9" ht="14.25" x14ac:dyDescent="0.2">
      <c r="A31" s="30">
        <f t="shared" si="2"/>
        <v>23</v>
      </c>
      <c r="B31" s="31"/>
      <c r="C31" s="32"/>
      <c r="D31" s="33"/>
      <c r="E31" s="33"/>
      <c r="F31" s="33"/>
      <c r="G31" s="34"/>
      <c r="H31" s="34"/>
      <c r="I31" s="35">
        <f t="shared" si="3"/>
        <v>23</v>
      </c>
    </row>
    <row r="32" spans="1:9" ht="14.25" x14ac:dyDescent="0.2">
      <c r="A32" s="30">
        <f t="shared" si="2"/>
        <v>24</v>
      </c>
      <c r="B32" s="31"/>
      <c r="C32" s="32"/>
      <c r="D32" s="41"/>
      <c r="E32" s="33"/>
      <c r="F32" s="33"/>
      <c r="G32" s="34"/>
      <c r="H32" s="34"/>
      <c r="I32" s="35">
        <f t="shared" si="3"/>
        <v>24</v>
      </c>
    </row>
    <row r="33" spans="1:9" ht="14.25" x14ac:dyDescent="0.2">
      <c r="A33" s="30">
        <f t="shared" si="2"/>
        <v>25</v>
      </c>
      <c r="B33" s="31"/>
      <c r="C33" s="32"/>
      <c r="D33" s="33"/>
      <c r="E33" s="33"/>
      <c r="F33" s="33"/>
      <c r="G33" s="34"/>
      <c r="H33" s="34"/>
      <c r="I33" s="35">
        <f t="shared" si="3"/>
        <v>25</v>
      </c>
    </row>
    <row r="34" spans="1:9" ht="14.25" x14ac:dyDescent="0.2">
      <c r="A34" s="30">
        <f t="shared" si="2"/>
        <v>26</v>
      </c>
      <c r="B34" s="31"/>
      <c r="C34" s="32"/>
      <c r="D34" s="41"/>
      <c r="E34" s="33"/>
      <c r="F34" s="33"/>
      <c r="G34" s="34"/>
      <c r="H34" s="34"/>
      <c r="I34" s="35">
        <f t="shared" si="3"/>
        <v>26</v>
      </c>
    </row>
    <row r="35" spans="1:9" ht="14.25" x14ac:dyDescent="0.2">
      <c r="A35" s="30">
        <f t="shared" si="2"/>
        <v>27</v>
      </c>
      <c r="B35" s="31"/>
      <c r="C35" s="32"/>
      <c r="D35" s="33"/>
      <c r="E35" s="33"/>
      <c r="F35" s="33"/>
      <c r="G35" s="34"/>
      <c r="H35" s="34"/>
      <c r="I35" s="35">
        <f t="shared" si="3"/>
        <v>27</v>
      </c>
    </row>
    <row r="36" spans="1:9" ht="14.25" x14ac:dyDescent="0.2">
      <c r="A36" s="30">
        <f t="shared" si="2"/>
        <v>28</v>
      </c>
      <c r="B36" s="31"/>
      <c r="C36" s="32"/>
      <c r="D36" s="41"/>
      <c r="E36" s="33"/>
      <c r="F36" s="33"/>
      <c r="G36" s="34"/>
      <c r="H36" s="34"/>
      <c r="I36" s="35">
        <f t="shared" si="3"/>
        <v>28</v>
      </c>
    </row>
    <row r="37" spans="1:9" ht="14.25" x14ac:dyDescent="0.2">
      <c r="A37" s="30">
        <f t="shared" si="2"/>
        <v>29</v>
      </c>
      <c r="B37" s="31"/>
      <c r="C37" s="32"/>
      <c r="D37" s="33"/>
      <c r="E37" s="33"/>
      <c r="F37" s="33"/>
      <c r="G37" s="34"/>
      <c r="H37" s="34"/>
      <c r="I37" s="35">
        <f t="shared" si="3"/>
        <v>29</v>
      </c>
    </row>
    <row r="38" spans="1:9" ht="14.25" x14ac:dyDescent="0.2">
      <c r="A38" s="30">
        <f t="shared" si="2"/>
        <v>30</v>
      </c>
      <c r="B38" s="31"/>
      <c r="C38" s="32"/>
      <c r="D38" s="41"/>
      <c r="E38" s="33"/>
      <c r="F38" s="33"/>
      <c r="G38" s="34"/>
      <c r="H38" s="34"/>
      <c r="I38" s="35">
        <f t="shared" si="3"/>
        <v>30</v>
      </c>
    </row>
    <row r="39" spans="1:9" ht="14.25" x14ac:dyDescent="0.2">
      <c r="A39" s="30">
        <f t="shared" si="2"/>
        <v>31</v>
      </c>
      <c r="B39" s="31"/>
      <c r="C39" s="32"/>
      <c r="D39" s="33"/>
      <c r="E39" s="33"/>
      <c r="F39" s="33"/>
      <c r="G39" s="34"/>
      <c r="H39" s="34"/>
      <c r="I39" s="35">
        <f t="shared" si="3"/>
        <v>31</v>
      </c>
    </row>
    <row r="40" spans="1:9" ht="14.25" x14ac:dyDescent="0.2">
      <c r="A40" s="30">
        <f t="shared" si="2"/>
        <v>32</v>
      </c>
      <c r="B40" s="31"/>
      <c r="C40" s="32"/>
      <c r="D40" s="41"/>
      <c r="E40" s="33"/>
      <c r="F40" s="33"/>
      <c r="G40" s="34"/>
      <c r="H40" s="34"/>
      <c r="I40" s="35">
        <f t="shared" si="3"/>
        <v>32</v>
      </c>
    </row>
    <row r="41" spans="1:9" ht="14.25" x14ac:dyDescent="0.2">
      <c r="A41" s="30">
        <f t="shared" si="2"/>
        <v>33</v>
      </c>
      <c r="B41" s="31"/>
      <c r="C41" s="32"/>
      <c r="D41" s="33"/>
      <c r="E41" s="33"/>
      <c r="F41" s="33"/>
      <c r="G41" s="34"/>
      <c r="H41" s="34"/>
      <c r="I41" s="35">
        <f t="shared" si="3"/>
        <v>33</v>
      </c>
    </row>
  </sheetData>
  <sheetProtection selectLockedCells="1"/>
  <phoneticPr fontId="2" type="noConversion"/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41"/>
  <sheetViews>
    <sheetView tabSelected="1" workbookViewId="0">
      <selection activeCell="J24" sqref="J24"/>
    </sheetView>
  </sheetViews>
  <sheetFormatPr defaultRowHeight="11.25" x14ac:dyDescent="0.2"/>
  <cols>
    <col min="1" max="1" width="2.7109375" style="36" customWidth="1"/>
    <col min="2" max="2" width="5.42578125" style="4" customWidth="1"/>
    <col min="3" max="3" width="3.28515625" style="4" customWidth="1"/>
    <col min="4" max="4" width="50.7109375" style="4" customWidth="1"/>
    <col min="5" max="5" width="6.28515625" style="4" customWidth="1"/>
    <col min="6" max="6" width="6.5703125" style="4" customWidth="1"/>
    <col min="7" max="8" width="12.7109375" style="4" customWidth="1"/>
    <col min="9" max="9" width="2.7109375" style="4" customWidth="1"/>
    <col min="10" max="16384" width="9.140625" style="4"/>
  </cols>
  <sheetData>
    <row r="1" spans="1:9" ht="15" customHeight="1" x14ac:dyDescent="0.25">
      <c r="A1" s="1" t="s">
        <v>14</v>
      </c>
      <c r="B1" s="2"/>
      <c r="C1" s="2"/>
      <c r="D1" s="2"/>
      <c r="E1" s="3" t="s">
        <v>0</v>
      </c>
      <c r="F1" s="38" t="s">
        <v>49</v>
      </c>
      <c r="G1" s="39"/>
      <c r="H1" s="2"/>
      <c r="I1" s="2"/>
    </row>
    <row r="2" spans="1:9" ht="15" customHeight="1" x14ac:dyDescent="0.2">
      <c r="A2" s="1" t="s">
        <v>39</v>
      </c>
      <c r="B2" s="2"/>
      <c r="C2" s="2"/>
      <c r="D2" s="2"/>
      <c r="E2" s="2"/>
      <c r="F2" s="2"/>
      <c r="G2" s="2"/>
      <c r="H2" s="2"/>
      <c r="I2" s="2"/>
    </row>
    <row r="3" spans="1:9" ht="15" customHeight="1" x14ac:dyDescent="0.2">
      <c r="A3" s="1"/>
      <c r="B3" s="2"/>
      <c r="C3" s="2"/>
      <c r="D3" s="2"/>
      <c r="E3" s="2"/>
      <c r="F3" s="2"/>
      <c r="G3" s="2"/>
      <c r="H3" s="2"/>
      <c r="I3" s="2"/>
    </row>
    <row r="5" spans="1:9" s="8" customFormat="1" ht="15" x14ac:dyDescent="0.2">
      <c r="A5" s="5"/>
      <c r="B5" s="5"/>
      <c r="C5" s="5"/>
      <c r="D5" s="6" t="s">
        <v>1</v>
      </c>
      <c r="E5" s="5"/>
      <c r="F5" s="5"/>
      <c r="G5" s="7" t="s">
        <v>2</v>
      </c>
      <c r="H5" s="40">
        <v>1</v>
      </c>
      <c r="I5" s="5"/>
    </row>
    <row r="6" spans="1:9" s="11" customFormat="1" ht="9" thickBot="1" x14ac:dyDescent="0.2">
      <c r="A6" s="9"/>
      <c r="B6" s="9"/>
      <c r="C6" s="9"/>
      <c r="D6" s="9"/>
      <c r="E6" s="9"/>
      <c r="F6" s="9"/>
      <c r="G6" s="10">
        <v>1</v>
      </c>
      <c r="H6" s="10">
        <v>2</v>
      </c>
      <c r="I6" s="9"/>
    </row>
    <row r="7" spans="1:9" ht="12.95" customHeight="1" thickTop="1" x14ac:dyDescent="0.2">
      <c r="A7" s="12"/>
      <c r="B7" s="13"/>
      <c r="C7" s="14"/>
      <c r="D7" s="15"/>
      <c r="E7" s="15" t="s">
        <v>3</v>
      </c>
      <c r="F7" s="15" t="s">
        <v>4</v>
      </c>
      <c r="G7" s="16" t="s">
        <v>5</v>
      </c>
      <c r="H7" s="17"/>
      <c r="I7" s="13"/>
    </row>
    <row r="8" spans="1:9" ht="12.95" customHeight="1" thickBot="1" x14ac:dyDescent="0.25">
      <c r="A8" s="18"/>
      <c r="B8" s="19" t="s">
        <v>6</v>
      </c>
      <c r="C8" s="20"/>
      <c r="D8" s="21" t="s">
        <v>7</v>
      </c>
      <c r="E8" s="21" t="s">
        <v>8</v>
      </c>
      <c r="F8" s="21" t="s">
        <v>9</v>
      </c>
      <c r="G8" s="22" t="s">
        <v>10</v>
      </c>
      <c r="H8" s="22" t="s">
        <v>11</v>
      </c>
      <c r="I8" s="23"/>
    </row>
    <row r="9" spans="1:9" ht="15.95" customHeight="1" thickTop="1" x14ac:dyDescent="0.25">
      <c r="A9" s="24">
        <v>1</v>
      </c>
      <c r="B9" s="25" t="s">
        <v>40</v>
      </c>
      <c r="C9" s="26">
        <v>1</v>
      </c>
      <c r="D9" s="27" t="s">
        <v>17</v>
      </c>
      <c r="E9" s="26" t="s">
        <v>30</v>
      </c>
      <c r="F9" s="72">
        <v>110</v>
      </c>
      <c r="G9" s="28">
        <v>2250</v>
      </c>
      <c r="H9" s="28"/>
      <c r="I9" s="29">
        <v>1</v>
      </c>
    </row>
    <row r="10" spans="1:9" ht="15.95" customHeight="1" x14ac:dyDescent="0.25">
      <c r="A10" s="30">
        <f t="shared" ref="A10:A41" si="0">A9+1</f>
        <v>2</v>
      </c>
      <c r="B10" s="31"/>
      <c r="C10" s="32"/>
      <c r="D10" s="37" t="s">
        <v>41</v>
      </c>
      <c r="E10" s="32"/>
      <c r="F10" s="73">
        <v>310</v>
      </c>
      <c r="G10" s="34"/>
      <c r="H10" s="34">
        <v>2250</v>
      </c>
      <c r="I10" s="35">
        <f t="shared" ref="I10:I41" si="1">I9+1</f>
        <v>2</v>
      </c>
    </row>
    <row r="11" spans="1:9" ht="15.95" customHeight="1" x14ac:dyDescent="0.25">
      <c r="A11" s="30">
        <f t="shared" si="0"/>
        <v>3</v>
      </c>
      <c r="B11" s="31"/>
      <c r="C11" s="32">
        <v>4</v>
      </c>
      <c r="D11" s="33" t="s">
        <v>21</v>
      </c>
      <c r="E11" s="32" t="s">
        <v>31</v>
      </c>
      <c r="F11" s="73">
        <v>130</v>
      </c>
      <c r="G11" s="34">
        <v>134</v>
      </c>
      <c r="H11" s="34"/>
      <c r="I11" s="35">
        <f t="shared" si="1"/>
        <v>3</v>
      </c>
    </row>
    <row r="12" spans="1:9" ht="15.95" customHeight="1" x14ac:dyDescent="0.25">
      <c r="A12" s="24">
        <f t="shared" si="0"/>
        <v>4</v>
      </c>
      <c r="B12" s="25"/>
      <c r="C12" s="26"/>
      <c r="D12" s="37" t="s">
        <v>42</v>
      </c>
      <c r="E12" s="26"/>
      <c r="F12" s="72">
        <v>210</v>
      </c>
      <c r="G12" s="28"/>
      <c r="H12" s="28">
        <v>134</v>
      </c>
      <c r="I12" s="29">
        <f t="shared" si="1"/>
        <v>4</v>
      </c>
    </row>
    <row r="13" spans="1:9" ht="15.95" customHeight="1" x14ac:dyDescent="0.25">
      <c r="A13" s="30">
        <f t="shared" si="0"/>
        <v>5</v>
      </c>
      <c r="B13" s="31"/>
      <c r="C13" s="32">
        <v>7</v>
      </c>
      <c r="D13" s="33" t="s">
        <v>22</v>
      </c>
      <c r="E13" s="32" t="s">
        <v>32</v>
      </c>
      <c r="F13" s="73">
        <v>140</v>
      </c>
      <c r="G13" s="34">
        <v>410</v>
      </c>
      <c r="H13" s="34"/>
      <c r="I13" s="35">
        <f t="shared" si="1"/>
        <v>5</v>
      </c>
    </row>
    <row r="14" spans="1:9" ht="15.95" customHeight="1" x14ac:dyDescent="0.25">
      <c r="A14" s="30">
        <f t="shared" si="0"/>
        <v>6</v>
      </c>
      <c r="B14" s="31"/>
      <c r="C14" s="32"/>
      <c r="D14" s="37" t="s">
        <v>17</v>
      </c>
      <c r="E14" s="32"/>
      <c r="F14" s="73">
        <v>110</v>
      </c>
      <c r="G14" s="34"/>
      <c r="H14" s="34">
        <v>410</v>
      </c>
      <c r="I14" s="35">
        <f t="shared" si="1"/>
        <v>6</v>
      </c>
    </row>
    <row r="15" spans="1:9" ht="15.95" customHeight="1" x14ac:dyDescent="0.25">
      <c r="A15" s="24">
        <f t="shared" si="0"/>
        <v>7</v>
      </c>
      <c r="B15" s="25"/>
      <c r="C15" s="26">
        <v>10</v>
      </c>
      <c r="D15" s="27" t="s">
        <v>43</v>
      </c>
      <c r="E15" s="26" t="s">
        <v>33</v>
      </c>
      <c r="F15" s="72">
        <v>120</v>
      </c>
      <c r="G15" s="28">
        <v>360</v>
      </c>
      <c r="H15" s="28"/>
      <c r="I15" s="29">
        <f t="shared" si="1"/>
        <v>7</v>
      </c>
    </row>
    <row r="16" spans="1:9" ht="15.95" customHeight="1" x14ac:dyDescent="0.25">
      <c r="A16" s="30">
        <f t="shared" si="0"/>
        <v>8</v>
      </c>
      <c r="B16" s="31"/>
      <c r="C16" s="32"/>
      <c r="D16" s="37" t="s">
        <v>13</v>
      </c>
      <c r="E16" s="32"/>
      <c r="F16" s="73">
        <v>410</v>
      </c>
      <c r="G16" s="34"/>
      <c r="H16" s="34">
        <v>360</v>
      </c>
      <c r="I16" s="35">
        <f t="shared" si="1"/>
        <v>8</v>
      </c>
    </row>
    <row r="17" spans="1:9" ht="15.95" customHeight="1" x14ac:dyDescent="0.25">
      <c r="A17" s="30">
        <f t="shared" si="0"/>
        <v>9</v>
      </c>
      <c r="B17" s="31"/>
      <c r="C17" s="32">
        <v>13</v>
      </c>
      <c r="D17" s="33" t="s">
        <v>17</v>
      </c>
      <c r="E17" s="32" t="s">
        <v>34</v>
      </c>
      <c r="F17" s="73">
        <v>110</v>
      </c>
      <c r="G17" s="34">
        <v>1500</v>
      </c>
      <c r="H17" s="34"/>
      <c r="I17" s="35">
        <f t="shared" si="1"/>
        <v>9</v>
      </c>
    </row>
    <row r="18" spans="1:9" ht="15.95" customHeight="1" x14ac:dyDescent="0.25">
      <c r="A18" s="24">
        <f t="shared" si="0"/>
        <v>10</v>
      </c>
      <c r="B18" s="25"/>
      <c r="C18" s="26"/>
      <c r="D18" s="37" t="s">
        <v>13</v>
      </c>
      <c r="E18" s="26"/>
      <c r="F18" s="72">
        <v>410</v>
      </c>
      <c r="G18" s="28"/>
      <c r="H18" s="28">
        <v>1500</v>
      </c>
      <c r="I18" s="29">
        <f t="shared" si="1"/>
        <v>10</v>
      </c>
    </row>
    <row r="19" spans="1:9" ht="15.95" customHeight="1" x14ac:dyDescent="0.25">
      <c r="A19" s="30">
        <f t="shared" si="0"/>
        <v>11</v>
      </c>
      <c r="B19" s="31"/>
      <c r="C19" s="32">
        <v>18</v>
      </c>
      <c r="D19" s="33" t="s">
        <v>24</v>
      </c>
      <c r="E19" s="32" t="s">
        <v>35</v>
      </c>
      <c r="F19" s="73">
        <v>510</v>
      </c>
      <c r="G19" s="34">
        <v>68</v>
      </c>
      <c r="H19" s="34"/>
      <c r="I19" s="35">
        <f t="shared" si="1"/>
        <v>11</v>
      </c>
    </row>
    <row r="20" spans="1:9" ht="15.95" customHeight="1" x14ac:dyDescent="0.25">
      <c r="A20" s="30">
        <f t="shared" si="0"/>
        <v>12</v>
      </c>
      <c r="B20" s="31"/>
      <c r="C20" s="26"/>
      <c r="D20" s="37" t="s">
        <v>17</v>
      </c>
      <c r="E20" s="26"/>
      <c r="F20" s="72">
        <v>110</v>
      </c>
      <c r="G20" s="28"/>
      <c r="H20" s="28">
        <v>68</v>
      </c>
      <c r="I20" s="35">
        <f t="shared" si="1"/>
        <v>12</v>
      </c>
    </row>
    <row r="21" spans="1:9" ht="15.95" customHeight="1" x14ac:dyDescent="0.25">
      <c r="A21" s="24">
        <f t="shared" si="0"/>
        <v>13</v>
      </c>
      <c r="B21" s="25"/>
      <c r="C21" s="32">
        <v>21</v>
      </c>
      <c r="D21" s="33" t="s">
        <v>42</v>
      </c>
      <c r="E21" s="32" t="s">
        <v>36</v>
      </c>
      <c r="F21" s="73">
        <v>210</v>
      </c>
      <c r="G21" s="34">
        <v>80</v>
      </c>
      <c r="H21" s="34"/>
      <c r="I21" s="29">
        <f t="shared" si="1"/>
        <v>13</v>
      </c>
    </row>
    <row r="22" spans="1:9" ht="15.95" customHeight="1" x14ac:dyDescent="0.25">
      <c r="A22" s="30">
        <f t="shared" si="0"/>
        <v>14</v>
      </c>
      <c r="B22" s="31"/>
      <c r="C22" s="32"/>
      <c r="D22" s="37" t="s">
        <v>17</v>
      </c>
      <c r="E22" s="32"/>
      <c r="F22" s="73">
        <v>110</v>
      </c>
      <c r="G22" s="34"/>
      <c r="H22" s="34">
        <v>80</v>
      </c>
      <c r="I22" s="35">
        <f t="shared" si="1"/>
        <v>14</v>
      </c>
    </row>
    <row r="23" spans="1:9" ht="15.95" customHeight="1" x14ac:dyDescent="0.25">
      <c r="A23" s="30">
        <f t="shared" si="0"/>
        <v>15</v>
      </c>
      <c r="B23" s="31"/>
      <c r="C23" s="26">
        <v>27</v>
      </c>
      <c r="D23" s="33" t="s">
        <v>17</v>
      </c>
      <c r="E23" s="26" t="s">
        <v>37</v>
      </c>
      <c r="F23" s="72">
        <v>110</v>
      </c>
      <c r="G23" s="28">
        <v>200</v>
      </c>
      <c r="H23" s="28"/>
      <c r="I23" s="35">
        <f t="shared" si="1"/>
        <v>15</v>
      </c>
    </row>
    <row r="24" spans="1:9" ht="15" x14ac:dyDescent="0.25">
      <c r="A24" s="30">
        <f t="shared" si="0"/>
        <v>16</v>
      </c>
      <c r="B24" s="31"/>
      <c r="C24" s="32"/>
      <c r="D24" s="37" t="s">
        <v>43</v>
      </c>
      <c r="E24" s="32"/>
      <c r="F24" s="73">
        <v>120</v>
      </c>
      <c r="G24" s="34"/>
      <c r="H24" s="34">
        <v>200</v>
      </c>
      <c r="I24" s="35">
        <f t="shared" si="1"/>
        <v>16</v>
      </c>
    </row>
    <row r="25" spans="1:9" ht="15" x14ac:dyDescent="0.25">
      <c r="A25" s="30">
        <f t="shared" si="0"/>
        <v>17</v>
      </c>
      <c r="B25" s="31"/>
      <c r="C25" s="32">
        <v>30</v>
      </c>
      <c r="D25" s="33" t="s">
        <v>44</v>
      </c>
      <c r="E25" s="32" t="s">
        <v>38</v>
      </c>
      <c r="F25" s="73">
        <v>320</v>
      </c>
      <c r="G25" s="34">
        <v>1000</v>
      </c>
      <c r="H25" s="34"/>
      <c r="I25" s="35">
        <f t="shared" si="1"/>
        <v>17</v>
      </c>
    </row>
    <row r="26" spans="1:9" ht="15" x14ac:dyDescent="0.25">
      <c r="A26" s="30">
        <f t="shared" si="0"/>
        <v>18</v>
      </c>
      <c r="B26" s="31"/>
      <c r="C26" s="32"/>
      <c r="D26" s="37" t="s">
        <v>17</v>
      </c>
      <c r="E26" s="33"/>
      <c r="F26" s="73">
        <v>110</v>
      </c>
      <c r="G26" s="34"/>
      <c r="H26" s="34">
        <v>1000</v>
      </c>
      <c r="I26" s="35">
        <f t="shared" si="1"/>
        <v>18</v>
      </c>
    </row>
    <row r="27" spans="1:9" ht="14.25" x14ac:dyDescent="0.2">
      <c r="A27" s="30">
        <f t="shared" si="0"/>
        <v>19</v>
      </c>
      <c r="B27" s="31"/>
      <c r="C27" s="32"/>
      <c r="D27" s="27"/>
      <c r="E27" s="33"/>
      <c r="F27" s="33"/>
      <c r="G27" s="34"/>
      <c r="H27" s="34"/>
      <c r="I27" s="35">
        <f t="shared" si="1"/>
        <v>19</v>
      </c>
    </row>
    <row r="28" spans="1:9" ht="14.25" x14ac:dyDescent="0.2">
      <c r="A28" s="30">
        <f t="shared" si="0"/>
        <v>20</v>
      </c>
      <c r="B28" s="31"/>
      <c r="C28" s="32"/>
      <c r="D28" s="41"/>
      <c r="E28" s="33"/>
      <c r="F28" s="33"/>
      <c r="G28" s="34"/>
      <c r="H28" s="34"/>
      <c r="I28" s="35">
        <f t="shared" si="1"/>
        <v>20</v>
      </c>
    </row>
    <row r="29" spans="1:9" ht="14.25" x14ac:dyDescent="0.2">
      <c r="A29" s="30">
        <f t="shared" si="0"/>
        <v>21</v>
      </c>
      <c r="B29" s="31"/>
      <c r="C29" s="32"/>
      <c r="D29" s="33"/>
      <c r="E29" s="33"/>
      <c r="F29" s="33"/>
      <c r="G29" s="34"/>
      <c r="H29" s="34"/>
      <c r="I29" s="35">
        <f t="shared" si="1"/>
        <v>21</v>
      </c>
    </row>
    <row r="30" spans="1:9" ht="14.25" x14ac:dyDescent="0.2">
      <c r="A30" s="30">
        <f t="shared" si="0"/>
        <v>22</v>
      </c>
      <c r="B30" s="31"/>
      <c r="C30" s="32"/>
      <c r="D30" s="41"/>
      <c r="E30" s="33"/>
      <c r="F30" s="33"/>
      <c r="G30" s="34"/>
      <c r="H30" s="34"/>
      <c r="I30" s="35">
        <f t="shared" si="1"/>
        <v>22</v>
      </c>
    </row>
    <row r="31" spans="1:9" ht="14.25" x14ac:dyDescent="0.2">
      <c r="A31" s="30">
        <f t="shared" si="0"/>
        <v>23</v>
      </c>
      <c r="B31" s="31"/>
      <c r="C31" s="32"/>
      <c r="D31" s="33"/>
      <c r="E31" s="33"/>
      <c r="F31" s="33"/>
      <c r="G31" s="34"/>
      <c r="H31" s="34"/>
      <c r="I31" s="35">
        <f t="shared" si="1"/>
        <v>23</v>
      </c>
    </row>
    <row r="32" spans="1:9" ht="14.25" x14ac:dyDescent="0.2">
      <c r="A32" s="30">
        <f t="shared" si="0"/>
        <v>24</v>
      </c>
      <c r="B32" s="31"/>
      <c r="C32" s="32"/>
      <c r="D32" s="41"/>
      <c r="E32" s="33"/>
      <c r="F32" s="33"/>
      <c r="G32" s="34"/>
      <c r="H32" s="34"/>
      <c r="I32" s="35">
        <f t="shared" si="1"/>
        <v>24</v>
      </c>
    </row>
    <row r="33" spans="1:9" ht="14.25" x14ac:dyDescent="0.2">
      <c r="A33" s="30">
        <f t="shared" si="0"/>
        <v>25</v>
      </c>
      <c r="B33" s="31"/>
      <c r="C33" s="32"/>
      <c r="D33" s="33"/>
      <c r="E33" s="33"/>
      <c r="F33" s="33"/>
      <c r="G33" s="34"/>
      <c r="H33" s="34"/>
      <c r="I33" s="35">
        <f t="shared" si="1"/>
        <v>25</v>
      </c>
    </row>
    <row r="34" spans="1:9" ht="14.25" x14ac:dyDescent="0.2">
      <c r="A34" s="30">
        <f t="shared" si="0"/>
        <v>26</v>
      </c>
      <c r="B34" s="31"/>
      <c r="C34" s="32"/>
      <c r="D34" s="41"/>
      <c r="E34" s="33"/>
      <c r="F34" s="33"/>
      <c r="G34" s="34"/>
      <c r="H34" s="34"/>
      <c r="I34" s="35">
        <f t="shared" si="1"/>
        <v>26</v>
      </c>
    </row>
    <row r="35" spans="1:9" ht="14.25" x14ac:dyDescent="0.2">
      <c r="A35" s="30">
        <f t="shared" si="0"/>
        <v>27</v>
      </c>
      <c r="B35" s="31"/>
      <c r="C35" s="32"/>
      <c r="D35" s="33"/>
      <c r="E35" s="33"/>
      <c r="F35" s="33"/>
      <c r="G35" s="34"/>
      <c r="H35" s="34"/>
      <c r="I35" s="35">
        <f t="shared" si="1"/>
        <v>27</v>
      </c>
    </row>
    <row r="36" spans="1:9" ht="14.25" x14ac:dyDescent="0.2">
      <c r="A36" s="30">
        <f t="shared" si="0"/>
        <v>28</v>
      </c>
      <c r="B36" s="31"/>
      <c r="C36" s="32"/>
      <c r="D36" s="41"/>
      <c r="E36" s="33"/>
      <c r="F36" s="33"/>
      <c r="G36" s="34"/>
      <c r="H36" s="34"/>
      <c r="I36" s="35">
        <f t="shared" si="1"/>
        <v>28</v>
      </c>
    </row>
    <row r="37" spans="1:9" ht="14.25" x14ac:dyDescent="0.2">
      <c r="A37" s="30">
        <f t="shared" si="0"/>
        <v>29</v>
      </c>
      <c r="B37" s="31"/>
      <c r="C37" s="32"/>
      <c r="D37" s="33"/>
      <c r="E37" s="33"/>
      <c r="F37" s="33"/>
      <c r="G37" s="34"/>
      <c r="H37" s="34"/>
      <c r="I37" s="35">
        <f t="shared" si="1"/>
        <v>29</v>
      </c>
    </row>
    <row r="38" spans="1:9" ht="14.25" x14ac:dyDescent="0.2">
      <c r="A38" s="30">
        <f t="shared" si="0"/>
        <v>30</v>
      </c>
      <c r="B38" s="31"/>
      <c r="C38" s="32"/>
      <c r="D38" s="41"/>
      <c r="E38" s="33"/>
      <c r="F38" s="33"/>
      <c r="G38" s="34"/>
      <c r="H38" s="34"/>
      <c r="I38" s="35">
        <f t="shared" si="1"/>
        <v>30</v>
      </c>
    </row>
    <row r="39" spans="1:9" ht="14.25" x14ac:dyDescent="0.2">
      <c r="A39" s="30">
        <f t="shared" si="0"/>
        <v>31</v>
      </c>
      <c r="B39" s="31"/>
      <c r="C39" s="32"/>
      <c r="D39" s="33"/>
      <c r="E39" s="33"/>
      <c r="F39" s="33"/>
      <c r="G39" s="34"/>
      <c r="H39" s="34"/>
      <c r="I39" s="35">
        <f t="shared" si="1"/>
        <v>31</v>
      </c>
    </row>
    <row r="40" spans="1:9" ht="14.25" x14ac:dyDescent="0.2">
      <c r="A40" s="30">
        <f t="shared" si="0"/>
        <v>32</v>
      </c>
      <c r="B40" s="31"/>
      <c r="C40" s="32"/>
      <c r="D40" s="41"/>
      <c r="E40" s="33"/>
      <c r="F40" s="33"/>
      <c r="G40" s="34"/>
      <c r="H40" s="34"/>
      <c r="I40" s="35">
        <f t="shared" si="1"/>
        <v>32</v>
      </c>
    </row>
    <row r="41" spans="1:9" ht="14.25" x14ac:dyDescent="0.2">
      <c r="A41" s="30">
        <f t="shared" si="0"/>
        <v>33</v>
      </c>
      <c r="B41" s="31"/>
      <c r="C41" s="32"/>
      <c r="D41" s="33"/>
      <c r="E41" s="33"/>
      <c r="F41" s="33"/>
      <c r="G41" s="34"/>
      <c r="H41" s="34"/>
      <c r="I41" s="35">
        <f t="shared" si="1"/>
        <v>33</v>
      </c>
    </row>
  </sheetData>
  <sheetProtection selectLockedCells="1"/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95"/>
  <sheetViews>
    <sheetView topLeftCell="A73" zoomScaleNormal="100" workbookViewId="0">
      <selection activeCell="D33" sqref="D33"/>
    </sheetView>
  </sheetViews>
  <sheetFormatPr defaultRowHeight="11.25" x14ac:dyDescent="0.2"/>
  <cols>
    <col min="1" max="1" width="1.42578125" style="36" customWidth="1"/>
    <col min="2" max="2" width="5.5703125" style="4" customWidth="1"/>
    <col min="3" max="3" width="3.5703125" style="4" customWidth="1"/>
    <col min="4" max="4" width="36.5703125" style="4" customWidth="1"/>
    <col min="5" max="5" width="7" style="4" customWidth="1"/>
    <col min="6" max="7" width="10.7109375" style="4" customWidth="1"/>
    <col min="8" max="8" width="12.140625" style="4" customWidth="1"/>
    <col min="9" max="9" width="11.28515625" style="4" customWidth="1"/>
    <col min="10" max="10" width="1.42578125" style="4" customWidth="1"/>
    <col min="11" max="16384" width="9.140625" style="4"/>
  </cols>
  <sheetData>
    <row r="1" spans="1:10" ht="15" customHeight="1" x14ac:dyDescent="0.25">
      <c r="A1" s="1" t="s">
        <v>14</v>
      </c>
      <c r="B1" s="2"/>
      <c r="C1" s="2"/>
      <c r="D1" s="2"/>
      <c r="E1" s="3" t="s">
        <v>0</v>
      </c>
      <c r="F1" s="42" t="s">
        <v>49</v>
      </c>
      <c r="G1" s="43"/>
      <c r="H1" s="2"/>
      <c r="I1" s="2"/>
      <c r="J1" s="2"/>
    </row>
    <row r="2" spans="1:10" ht="15" customHeight="1" x14ac:dyDescent="0.2">
      <c r="A2" s="1" t="s">
        <v>39</v>
      </c>
      <c r="B2" s="2"/>
      <c r="C2" s="2"/>
      <c r="D2" s="2"/>
      <c r="E2" s="2"/>
      <c r="F2" s="2"/>
      <c r="G2" s="2"/>
      <c r="H2" s="2"/>
      <c r="I2" s="2"/>
      <c r="J2" s="2"/>
    </row>
    <row r="3" spans="1:10" ht="15" customHeight="1" x14ac:dyDescent="0.2">
      <c r="A3" s="1"/>
      <c r="B3" s="2"/>
      <c r="C3" s="2"/>
      <c r="D3" s="2"/>
      <c r="E3" s="2"/>
      <c r="F3" s="2"/>
      <c r="G3" s="2"/>
      <c r="H3" s="2"/>
      <c r="I3" s="2"/>
      <c r="J3" s="2"/>
    </row>
    <row r="5" spans="1:10" ht="12.75" customHeight="1" x14ac:dyDescent="0.2">
      <c r="B5" s="44"/>
      <c r="C5" s="44" t="s">
        <v>16</v>
      </c>
      <c r="D5" s="45" t="s">
        <v>17</v>
      </c>
      <c r="F5" s="44"/>
      <c r="G5" s="44"/>
      <c r="H5" s="44" t="s">
        <v>18</v>
      </c>
      <c r="I5" s="45">
        <v>110</v>
      </c>
    </row>
    <row r="6" spans="1:10" ht="5.0999999999999996" customHeight="1" thickBot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</row>
    <row r="7" spans="1:10" ht="10.5" customHeight="1" thickTop="1" x14ac:dyDescent="0.2">
      <c r="A7" s="12"/>
      <c r="B7" s="47"/>
      <c r="C7" s="36"/>
      <c r="D7" s="48"/>
      <c r="E7" s="48" t="s">
        <v>4</v>
      </c>
      <c r="F7" s="48"/>
      <c r="G7" s="48"/>
      <c r="H7" s="49" t="s">
        <v>19</v>
      </c>
      <c r="I7" s="50"/>
      <c r="J7" s="13"/>
    </row>
    <row r="8" spans="1:10" ht="16.5" customHeight="1" thickBot="1" x14ac:dyDescent="0.25">
      <c r="A8" s="18"/>
      <c r="B8" s="51" t="s">
        <v>6</v>
      </c>
      <c r="C8" s="52"/>
      <c r="D8" s="53" t="s">
        <v>20</v>
      </c>
      <c r="E8" s="53" t="s">
        <v>9</v>
      </c>
      <c r="F8" s="53" t="s">
        <v>10</v>
      </c>
      <c r="G8" s="53" t="s">
        <v>11</v>
      </c>
      <c r="H8" s="53" t="s">
        <v>10</v>
      </c>
      <c r="I8" s="53" t="s">
        <v>11</v>
      </c>
      <c r="J8" s="23"/>
    </row>
    <row r="9" spans="1:10" ht="15.95" customHeight="1" thickTop="1" x14ac:dyDescent="0.2">
      <c r="A9" s="24"/>
      <c r="B9" s="25" t="s">
        <v>47</v>
      </c>
      <c r="C9" s="26">
        <v>1</v>
      </c>
      <c r="D9" s="27"/>
      <c r="E9" s="26" t="s">
        <v>48</v>
      </c>
      <c r="F9" s="28">
        <v>2250</v>
      </c>
      <c r="G9" s="28"/>
      <c r="H9" s="28">
        <v>2250</v>
      </c>
      <c r="I9" s="28"/>
      <c r="J9" s="29"/>
    </row>
    <row r="10" spans="1:10" ht="15.95" customHeight="1" x14ac:dyDescent="0.2">
      <c r="A10" s="24"/>
      <c r="B10" s="25"/>
      <c r="C10" s="26">
        <v>7</v>
      </c>
      <c r="D10" s="27"/>
      <c r="E10" s="26" t="s">
        <v>48</v>
      </c>
      <c r="F10" s="28"/>
      <c r="G10" s="28">
        <v>410</v>
      </c>
      <c r="H10" s="28">
        <f>H9-G10</f>
        <v>1840</v>
      </c>
      <c r="I10" s="28"/>
      <c r="J10" s="29"/>
    </row>
    <row r="11" spans="1:10" ht="15.95" customHeight="1" x14ac:dyDescent="0.2">
      <c r="A11" s="24"/>
      <c r="B11" s="25"/>
      <c r="C11" s="26">
        <v>13</v>
      </c>
      <c r="D11" s="27"/>
      <c r="E11" s="26" t="s">
        <v>48</v>
      </c>
      <c r="F11" s="28">
        <v>1500</v>
      </c>
      <c r="G11" s="28"/>
      <c r="H11" s="28">
        <f>H10+F11</f>
        <v>3340</v>
      </c>
      <c r="I11" s="28"/>
      <c r="J11" s="29"/>
    </row>
    <row r="12" spans="1:10" ht="15.95" customHeight="1" x14ac:dyDescent="0.2">
      <c r="A12" s="24"/>
      <c r="B12" s="25"/>
      <c r="C12" s="26">
        <v>18</v>
      </c>
      <c r="D12" s="27"/>
      <c r="E12" s="26" t="s">
        <v>48</v>
      </c>
      <c r="F12" s="28"/>
      <c r="G12" s="28">
        <v>68</v>
      </c>
      <c r="H12" s="28">
        <f>H11-G12</f>
        <v>3272</v>
      </c>
      <c r="I12" s="28"/>
      <c r="J12" s="29"/>
    </row>
    <row r="13" spans="1:10" ht="15.95" customHeight="1" x14ac:dyDescent="0.2">
      <c r="A13" s="30"/>
      <c r="B13" s="31"/>
      <c r="C13" s="32">
        <v>21</v>
      </c>
      <c r="D13" s="33"/>
      <c r="E13" s="32" t="s">
        <v>48</v>
      </c>
      <c r="F13" s="34"/>
      <c r="G13" s="34">
        <v>80</v>
      </c>
      <c r="H13" s="34">
        <f>H12-G13</f>
        <v>3192</v>
      </c>
      <c r="I13" s="34"/>
      <c r="J13" s="35"/>
    </row>
    <row r="14" spans="1:10" ht="15.95" customHeight="1" x14ac:dyDescent="0.2">
      <c r="A14" s="30"/>
      <c r="B14" s="31"/>
      <c r="C14" s="32">
        <v>27</v>
      </c>
      <c r="D14" s="33"/>
      <c r="E14" s="32" t="s">
        <v>48</v>
      </c>
      <c r="F14" s="34">
        <v>200</v>
      </c>
      <c r="G14" s="34"/>
      <c r="H14" s="34">
        <f>H13+F14</f>
        <v>3392</v>
      </c>
      <c r="I14" s="34"/>
      <c r="J14" s="35"/>
    </row>
    <row r="15" spans="1:10" ht="15.95" customHeight="1" x14ac:dyDescent="0.2">
      <c r="A15" s="30"/>
      <c r="B15" s="54"/>
      <c r="C15" s="55">
        <v>30</v>
      </c>
      <c r="D15" s="56"/>
      <c r="E15" s="57" t="s">
        <v>48</v>
      </c>
      <c r="F15" s="58"/>
      <c r="G15" s="58">
        <v>1000</v>
      </c>
      <c r="H15" s="58">
        <f>H14-G15</f>
        <v>2392</v>
      </c>
      <c r="I15" s="58"/>
      <c r="J15" s="35"/>
    </row>
    <row r="16" spans="1:10" x14ac:dyDescent="0.2">
      <c r="H16" s="59"/>
      <c r="I16" s="59"/>
    </row>
    <row r="17" spans="1:10" x14ac:dyDescent="0.2">
      <c r="H17" s="59"/>
      <c r="I17" s="59"/>
    </row>
    <row r="18" spans="1:10" ht="12.75" customHeight="1" x14ac:dyDescent="0.2">
      <c r="B18" s="44"/>
      <c r="C18" s="44" t="s">
        <v>16</v>
      </c>
      <c r="D18" s="45" t="s">
        <v>45</v>
      </c>
      <c r="G18" s="44"/>
      <c r="H18" s="60" t="s">
        <v>18</v>
      </c>
      <c r="I18" s="61">
        <v>120</v>
      </c>
    </row>
    <row r="19" spans="1:10" ht="12" thickBot="1" x14ac:dyDescent="0.25">
      <c r="A19" s="46"/>
      <c r="B19" s="46"/>
      <c r="C19" s="46"/>
      <c r="D19" s="46"/>
      <c r="E19" s="46"/>
      <c r="F19" s="46"/>
      <c r="G19" s="46"/>
      <c r="H19" s="62"/>
      <c r="I19" s="62"/>
      <c r="J19" s="46"/>
    </row>
    <row r="20" spans="1:10" ht="12.75" thickTop="1" x14ac:dyDescent="0.2">
      <c r="A20" s="12"/>
      <c r="B20" s="47"/>
      <c r="C20" s="36"/>
      <c r="D20" s="48"/>
      <c r="E20" s="48" t="s">
        <v>4</v>
      </c>
      <c r="F20" s="48"/>
      <c r="G20" s="48"/>
      <c r="H20" s="63" t="s">
        <v>19</v>
      </c>
      <c r="I20" s="64"/>
      <c r="J20" s="13"/>
    </row>
    <row r="21" spans="1:10" ht="12.75" thickBot="1" x14ac:dyDescent="0.25">
      <c r="A21" s="18"/>
      <c r="B21" s="51" t="s">
        <v>6</v>
      </c>
      <c r="C21" s="52"/>
      <c r="D21" s="53" t="s">
        <v>20</v>
      </c>
      <c r="E21" s="53" t="s">
        <v>9</v>
      </c>
      <c r="F21" s="53" t="s">
        <v>10</v>
      </c>
      <c r="G21" s="53" t="s">
        <v>11</v>
      </c>
      <c r="H21" s="65" t="s">
        <v>10</v>
      </c>
      <c r="I21" s="65" t="s">
        <v>11</v>
      </c>
      <c r="J21" s="23"/>
    </row>
    <row r="22" spans="1:10" ht="15.95" customHeight="1" thickTop="1" x14ac:dyDescent="0.2">
      <c r="A22" s="24"/>
      <c r="B22" s="25" t="s">
        <v>47</v>
      </c>
      <c r="C22" s="26">
        <v>10</v>
      </c>
      <c r="D22" s="27"/>
      <c r="E22" s="26" t="s">
        <v>48</v>
      </c>
      <c r="F22" s="28">
        <v>360</v>
      </c>
      <c r="G22" s="28"/>
      <c r="H22" s="28">
        <v>360</v>
      </c>
      <c r="I22" s="28"/>
      <c r="J22" s="29"/>
    </row>
    <row r="23" spans="1:10" ht="15.95" customHeight="1" x14ac:dyDescent="0.2">
      <c r="A23" s="24"/>
      <c r="B23" s="25"/>
      <c r="C23" s="26">
        <v>27</v>
      </c>
      <c r="D23" s="27"/>
      <c r="E23" s="26" t="s">
        <v>48</v>
      </c>
      <c r="F23" s="28"/>
      <c r="G23" s="28">
        <v>200</v>
      </c>
      <c r="H23" s="28">
        <f>H22-G23</f>
        <v>160</v>
      </c>
      <c r="I23" s="28"/>
      <c r="J23" s="29"/>
    </row>
    <row r="24" spans="1:10" ht="15.95" customHeight="1" x14ac:dyDescent="0.2">
      <c r="A24" s="24"/>
      <c r="B24" s="25"/>
      <c r="C24" s="26"/>
      <c r="D24" s="27"/>
      <c r="E24" s="26"/>
      <c r="F24" s="28"/>
      <c r="G24" s="28"/>
      <c r="H24" s="28"/>
      <c r="I24" s="28"/>
      <c r="J24" s="29"/>
    </row>
    <row r="25" spans="1:10" ht="15.95" customHeight="1" x14ac:dyDescent="0.2">
      <c r="A25" s="30"/>
      <c r="B25" s="31"/>
      <c r="C25" s="32"/>
      <c r="D25" s="33"/>
      <c r="E25" s="26"/>
      <c r="F25" s="34"/>
      <c r="G25" s="34"/>
      <c r="H25" s="34"/>
      <c r="I25" s="34"/>
      <c r="J25" s="35"/>
    </row>
    <row r="26" spans="1:10" ht="15.95" customHeight="1" x14ac:dyDescent="0.2">
      <c r="A26" s="30"/>
      <c r="B26" s="54"/>
      <c r="C26" s="55"/>
      <c r="D26" s="56"/>
      <c r="E26" s="26"/>
      <c r="F26" s="58"/>
      <c r="G26" s="58"/>
      <c r="H26" s="58"/>
      <c r="I26" s="58"/>
      <c r="J26" s="35"/>
    </row>
    <row r="27" spans="1:10" x14ac:dyDescent="0.2">
      <c r="H27" s="59"/>
      <c r="I27" s="59"/>
    </row>
    <row r="28" spans="1:10" x14ac:dyDescent="0.2">
      <c r="H28" s="59"/>
      <c r="I28" s="59"/>
    </row>
    <row r="29" spans="1:10" ht="12.75" customHeight="1" x14ac:dyDescent="0.2">
      <c r="B29" s="44"/>
      <c r="C29" s="44" t="s">
        <v>16</v>
      </c>
      <c r="D29" s="45" t="s">
        <v>21</v>
      </c>
      <c r="F29" s="44"/>
      <c r="G29" s="44"/>
      <c r="H29" s="60" t="s">
        <v>18</v>
      </c>
      <c r="I29" s="61">
        <v>130</v>
      </c>
    </row>
    <row r="30" spans="1:10" ht="12" thickBot="1" x14ac:dyDescent="0.25">
      <c r="A30" s="46"/>
      <c r="B30" s="46"/>
      <c r="C30" s="46"/>
      <c r="D30" s="46"/>
      <c r="E30" s="46"/>
      <c r="F30" s="46"/>
      <c r="G30" s="46"/>
      <c r="H30" s="62"/>
      <c r="I30" s="62"/>
      <c r="J30" s="46"/>
    </row>
    <row r="31" spans="1:10" ht="12.75" thickTop="1" x14ac:dyDescent="0.2">
      <c r="A31" s="12"/>
      <c r="B31" s="47"/>
      <c r="C31" s="36"/>
      <c r="D31" s="48"/>
      <c r="E31" s="48" t="s">
        <v>4</v>
      </c>
      <c r="F31" s="48"/>
      <c r="G31" s="48"/>
      <c r="H31" s="63" t="s">
        <v>19</v>
      </c>
      <c r="I31" s="64"/>
      <c r="J31" s="13"/>
    </row>
    <row r="32" spans="1:10" ht="12.75" thickBot="1" x14ac:dyDescent="0.25">
      <c r="A32" s="18"/>
      <c r="B32" s="51" t="s">
        <v>6</v>
      </c>
      <c r="C32" s="52"/>
      <c r="D32" s="53" t="s">
        <v>20</v>
      </c>
      <c r="E32" s="53" t="s">
        <v>9</v>
      </c>
      <c r="F32" s="53" t="s">
        <v>10</v>
      </c>
      <c r="G32" s="53" t="s">
        <v>11</v>
      </c>
      <c r="H32" s="65" t="s">
        <v>10</v>
      </c>
      <c r="I32" s="65" t="s">
        <v>11</v>
      </c>
      <c r="J32" s="23"/>
    </row>
    <row r="33" spans="1:10" ht="15.95" customHeight="1" thickTop="1" x14ac:dyDescent="0.2">
      <c r="A33" s="24"/>
      <c r="B33" s="25" t="s">
        <v>40</v>
      </c>
      <c r="C33" s="26">
        <v>4</v>
      </c>
      <c r="D33" s="27"/>
      <c r="E33" s="26" t="s">
        <v>48</v>
      </c>
      <c r="F33" s="28">
        <v>134</v>
      </c>
      <c r="G33" s="28"/>
      <c r="H33" s="28">
        <v>134</v>
      </c>
      <c r="I33" s="28"/>
      <c r="J33" s="29"/>
    </row>
    <row r="34" spans="1:10" ht="15.95" customHeight="1" x14ac:dyDescent="0.2">
      <c r="A34" s="24"/>
      <c r="B34" s="25"/>
      <c r="C34" s="26"/>
      <c r="D34" s="27"/>
      <c r="E34" s="26"/>
      <c r="F34" s="28"/>
      <c r="G34" s="28"/>
      <c r="H34" s="28"/>
      <c r="I34" s="28"/>
      <c r="J34" s="29"/>
    </row>
    <row r="35" spans="1:10" ht="15.95" customHeight="1" x14ac:dyDescent="0.2">
      <c r="A35" s="24"/>
      <c r="B35" s="25"/>
      <c r="C35" s="26"/>
      <c r="D35" s="27"/>
      <c r="E35" s="26"/>
      <c r="F35" s="28"/>
      <c r="G35" s="28"/>
      <c r="H35" s="28"/>
      <c r="I35" s="28"/>
      <c r="J35" s="29"/>
    </row>
    <row r="36" spans="1:10" ht="15.95" customHeight="1" x14ac:dyDescent="0.2">
      <c r="A36" s="30"/>
      <c r="B36" s="31"/>
      <c r="C36" s="32"/>
      <c r="D36" s="33"/>
      <c r="E36" s="26"/>
      <c r="F36" s="34"/>
      <c r="G36" s="34"/>
      <c r="H36" s="34"/>
      <c r="I36" s="34"/>
      <c r="J36" s="35"/>
    </row>
    <row r="37" spans="1:10" ht="15.95" customHeight="1" x14ac:dyDescent="0.2">
      <c r="A37" s="30"/>
      <c r="B37" s="54"/>
      <c r="C37" s="55"/>
      <c r="D37" s="56"/>
      <c r="E37" s="26"/>
      <c r="F37" s="58"/>
      <c r="G37" s="58"/>
      <c r="H37" s="58"/>
      <c r="I37" s="58"/>
      <c r="J37" s="35"/>
    </row>
    <row r="38" spans="1:10" x14ac:dyDescent="0.2">
      <c r="H38" s="59"/>
      <c r="I38" s="59"/>
    </row>
    <row r="39" spans="1:10" x14ac:dyDescent="0.2">
      <c r="H39" s="59"/>
      <c r="I39" s="59"/>
    </row>
    <row r="40" spans="1:10" ht="12.75" customHeight="1" x14ac:dyDescent="0.2">
      <c r="B40" s="44"/>
      <c r="C40" s="44" t="s">
        <v>16</v>
      </c>
      <c r="D40" s="45" t="s">
        <v>22</v>
      </c>
      <c r="F40" s="44"/>
      <c r="G40" s="44"/>
      <c r="H40" s="60" t="s">
        <v>18</v>
      </c>
      <c r="I40" s="45">
        <v>140</v>
      </c>
    </row>
    <row r="41" spans="1:10" ht="12" thickBot="1" x14ac:dyDescent="0.25">
      <c r="A41" s="46"/>
      <c r="B41" s="46"/>
      <c r="C41" s="46"/>
      <c r="D41" s="46"/>
      <c r="E41" s="46"/>
      <c r="F41" s="46"/>
      <c r="G41" s="46"/>
      <c r="H41" s="62"/>
      <c r="I41" s="62"/>
      <c r="J41" s="46"/>
    </row>
    <row r="42" spans="1:10" ht="12.75" thickTop="1" x14ac:dyDescent="0.2">
      <c r="A42" s="12"/>
      <c r="B42" s="47"/>
      <c r="C42" s="36"/>
      <c r="D42" s="48"/>
      <c r="E42" s="48" t="s">
        <v>4</v>
      </c>
      <c r="F42" s="48"/>
      <c r="G42" s="48"/>
      <c r="H42" s="63" t="s">
        <v>19</v>
      </c>
      <c r="I42" s="64"/>
      <c r="J42" s="13"/>
    </row>
    <row r="43" spans="1:10" ht="12.75" thickBot="1" x14ac:dyDescent="0.25">
      <c r="A43" s="18"/>
      <c r="B43" s="51" t="s">
        <v>6</v>
      </c>
      <c r="C43" s="52"/>
      <c r="D43" s="53" t="s">
        <v>20</v>
      </c>
      <c r="E43" s="53" t="s">
        <v>9</v>
      </c>
      <c r="F43" s="53" t="s">
        <v>10</v>
      </c>
      <c r="G43" s="53" t="s">
        <v>11</v>
      </c>
      <c r="H43" s="65" t="s">
        <v>10</v>
      </c>
      <c r="I43" s="65" t="s">
        <v>11</v>
      </c>
      <c r="J43" s="23"/>
    </row>
    <row r="44" spans="1:10" ht="15.95" customHeight="1" thickTop="1" x14ac:dyDescent="0.2">
      <c r="A44" s="24"/>
      <c r="B44" s="25" t="s">
        <v>40</v>
      </c>
      <c r="C44" s="26">
        <v>7</v>
      </c>
      <c r="D44" s="27"/>
      <c r="E44" s="26" t="s">
        <v>48</v>
      </c>
      <c r="F44" s="28">
        <v>410</v>
      </c>
      <c r="G44" s="28"/>
      <c r="H44" s="28">
        <v>410</v>
      </c>
      <c r="I44" s="28"/>
      <c r="J44" s="29"/>
    </row>
    <row r="45" spans="1:10" ht="15.95" customHeight="1" x14ac:dyDescent="0.2">
      <c r="A45" s="24"/>
      <c r="B45" s="25"/>
      <c r="C45" s="26"/>
      <c r="D45" s="27"/>
      <c r="E45" s="26"/>
      <c r="F45" s="28"/>
      <c r="G45" s="28"/>
      <c r="H45" s="28"/>
      <c r="I45" s="28"/>
      <c r="J45" s="29"/>
    </row>
    <row r="46" spans="1:10" ht="15.95" customHeight="1" x14ac:dyDescent="0.2">
      <c r="A46" s="24"/>
      <c r="B46" s="25"/>
      <c r="C46" s="26"/>
      <c r="D46" s="27"/>
      <c r="E46" s="26"/>
      <c r="F46" s="28"/>
      <c r="G46" s="28"/>
      <c r="H46" s="28"/>
      <c r="I46" s="28"/>
      <c r="J46" s="29"/>
    </row>
    <row r="47" spans="1:10" ht="15.95" customHeight="1" x14ac:dyDescent="0.2">
      <c r="A47" s="30"/>
      <c r="B47" s="31"/>
      <c r="C47" s="32"/>
      <c r="D47" s="33"/>
      <c r="E47" s="26"/>
      <c r="F47" s="34"/>
      <c r="G47" s="34"/>
      <c r="H47" s="34"/>
      <c r="I47" s="34"/>
      <c r="J47" s="35"/>
    </row>
    <row r="48" spans="1:10" ht="15.95" customHeight="1" x14ac:dyDescent="0.2">
      <c r="A48" s="30"/>
      <c r="B48" s="54"/>
      <c r="C48" s="55"/>
      <c r="D48" s="56"/>
      <c r="E48" s="26"/>
      <c r="F48" s="58"/>
      <c r="G48" s="58"/>
      <c r="H48" s="66"/>
      <c r="I48" s="66"/>
      <c r="J48" s="35"/>
    </row>
    <row r="49" spans="1:10" x14ac:dyDescent="0.2">
      <c r="H49" s="59"/>
      <c r="I49" s="59"/>
    </row>
    <row r="50" spans="1:10" x14ac:dyDescent="0.2">
      <c r="H50" s="59"/>
      <c r="I50" s="59"/>
    </row>
    <row r="51" spans="1:10" x14ac:dyDescent="0.2">
      <c r="H51" s="59"/>
      <c r="I51" s="59"/>
    </row>
    <row r="52" spans="1:10" x14ac:dyDescent="0.2">
      <c r="H52" s="59"/>
      <c r="I52" s="59"/>
    </row>
    <row r="53" spans="1:10" x14ac:dyDescent="0.2">
      <c r="H53" s="59"/>
      <c r="I53" s="59"/>
    </row>
    <row r="54" spans="1:10" x14ac:dyDescent="0.2">
      <c r="H54" s="59"/>
      <c r="I54" s="59"/>
    </row>
    <row r="55" spans="1:10" ht="21.75" customHeight="1" x14ac:dyDescent="0.25">
      <c r="C55" s="67" t="s">
        <v>23</v>
      </c>
      <c r="D55" s="68" t="str">
        <f>F1</f>
        <v>Dhruv Patil</v>
      </c>
      <c r="H55" s="59"/>
      <c r="I55" s="59"/>
    </row>
    <row r="56" spans="1:10" ht="21.75" customHeight="1" x14ac:dyDescent="0.2">
      <c r="C56" s="67"/>
      <c r="D56" s="69"/>
      <c r="H56" s="59"/>
      <c r="I56" s="59"/>
    </row>
    <row r="57" spans="1:10" ht="14.25" x14ac:dyDescent="0.2">
      <c r="B57" s="44"/>
      <c r="C57" s="44" t="s">
        <v>16</v>
      </c>
      <c r="D57" s="45" t="s">
        <v>46</v>
      </c>
      <c r="F57" s="44"/>
      <c r="G57" s="44"/>
      <c r="H57" s="60" t="s">
        <v>18</v>
      </c>
      <c r="I57" s="45">
        <v>210</v>
      </c>
    </row>
    <row r="58" spans="1:10" ht="12" thickBot="1" x14ac:dyDescent="0.25">
      <c r="A58" s="46"/>
      <c r="B58" s="46"/>
      <c r="C58" s="46"/>
      <c r="D58" s="46"/>
      <c r="E58" s="46"/>
      <c r="F58" s="46"/>
      <c r="G58" s="46"/>
      <c r="H58" s="62"/>
      <c r="I58" s="62"/>
      <c r="J58" s="46"/>
    </row>
    <row r="59" spans="1:10" ht="12.75" thickTop="1" x14ac:dyDescent="0.2">
      <c r="A59" s="12"/>
      <c r="B59" s="47"/>
      <c r="C59" s="36"/>
      <c r="D59" s="48"/>
      <c r="E59" s="48" t="s">
        <v>4</v>
      </c>
      <c r="F59" s="48"/>
      <c r="G59" s="48"/>
      <c r="H59" s="63" t="s">
        <v>19</v>
      </c>
      <c r="I59" s="64"/>
      <c r="J59" s="13"/>
    </row>
    <row r="60" spans="1:10" ht="12.75" thickBot="1" x14ac:dyDescent="0.25">
      <c r="A60" s="18"/>
      <c r="B60" s="51" t="s">
        <v>6</v>
      </c>
      <c r="C60" s="52"/>
      <c r="D60" s="53" t="s">
        <v>20</v>
      </c>
      <c r="E60" s="53" t="s">
        <v>9</v>
      </c>
      <c r="F60" s="53" t="s">
        <v>10</v>
      </c>
      <c r="G60" s="53" t="s">
        <v>11</v>
      </c>
      <c r="H60" s="65" t="s">
        <v>10</v>
      </c>
      <c r="I60" s="65" t="s">
        <v>11</v>
      </c>
      <c r="J60" s="23"/>
    </row>
    <row r="61" spans="1:10" ht="15.95" customHeight="1" thickTop="1" x14ac:dyDescent="0.2">
      <c r="A61" s="24"/>
      <c r="B61" s="25" t="s">
        <v>40</v>
      </c>
      <c r="C61" s="26">
        <v>4</v>
      </c>
      <c r="D61" s="28"/>
      <c r="E61" s="70" t="s">
        <v>48</v>
      </c>
      <c r="F61" s="28"/>
      <c r="G61" s="28">
        <v>134</v>
      </c>
      <c r="H61" s="28"/>
      <c r="I61" s="28">
        <v>134</v>
      </c>
      <c r="J61" s="29"/>
    </row>
    <row r="62" spans="1:10" ht="15.95" customHeight="1" x14ac:dyDescent="0.2">
      <c r="A62" s="30"/>
      <c r="B62" s="31"/>
      <c r="C62" s="32">
        <v>21</v>
      </c>
      <c r="D62" s="34"/>
      <c r="E62" s="71" t="s">
        <v>48</v>
      </c>
      <c r="F62" s="34">
        <v>80</v>
      </c>
      <c r="G62" s="34"/>
      <c r="H62" s="34"/>
      <c r="I62" s="34">
        <f>I61-F62</f>
        <v>54</v>
      </c>
      <c r="J62" s="35"/>
    </row>
    <row r="63" spans="1:10" ht="15.95" customHeight="1" x14ac:dyDescent="0.2">
      <c r="A63" s="30"/>
      <c r="B63" s="54"/>
      <c r="C63" s="55"/>
      <c r="D63" s="58"/>
      <c r="E63" s="58"/>
      <c r="F63" s="58"/>
      <c r="G63" s="58"/>
      <c r="H63" s="58"/>
      <c r="I63" s="58"/>
      <c r="J63" s="35"/>
    </row>
    <row r="65" spans="1:10" ht="14.25" x14ac:dyDescent="0.2">
      <c r="B65" s="44"/>
      <c r="C65" s="44" t="s">
        <v>16</v>
      </c>
      <c r="D65" s="45" t="s">
        <v>41</v>
      </c>
      <c r="F65" s="44"/>
      <c r="G65" s="44"/>
      <c r="H65" s="60" t="s">
        <v>18</v>
      </c>
      <c r="I65" s="45">
        <v>310</v>
      </c>
    </row>
    <row r="66" spans="1:10" ht="12" thickBot="1" x14ac:dyDescent="0.25">
      <c r="A66" s="46"/>
      <c r="B66" s="46"/>
      <c r="C66" s="46"/>
      <c r="D66" s="46"/>
      <c r="E66" s="46"/>
      <c r="F66" s="46"/>
      <c r="G66" s="46"/>
      <c r="H66" s="62"/>
      <c r="I66" s="62"/>
    </row>
    <row r="67" spans="1:10" ht="12.75" thickTop="1" x14ac:dyDescent="0.2">
      <c r="A67" s="12"/>
      <c r="B67" s="47"/>
      <c r="C67" s="36"/>
      <c r="D67" s="48"/>
      <c r="E67" s="48" t="s">
        <v>4</v>
      </c>
      <c r="F67" s="48"/>
      <c r="G67" s="48"/>
      <c r="H67" s="63" t="s">
        <v>19</v>
      </c>
      <c r="I67" s="64"/>
      <c r="J67" s="13"/>
    </row>
    <row r="68" spans="1:10" ht="12.75" thickBot="1" x14ac:dyDescent="0.25">
      <c r="A68" s="18"/>
      <c r="B68" s="51" t="s">
        <v>6</v>
      </c>
      <c r="C68" s="52"/>
      <c r="D68" s="53" t="s">
        <v>20</v>
      </c>
      <c r="E68" s="53" t="s">
        <v>9</v>
      </c>
      <c r="F68" s="53" t="s">
        <v>10</v>
      </c>
      <c r="G68" s="53" t="s">
        <v>11</v>
      </c>
      <c r="H68" s="65" t="s">
        <v>10</v>
      </c>
      <c r="I68" s="65" t="s">
        <v>11</v>
      </c>
      <c r="J68" s="23"/>
    </row>
    <row r="69" spans="1:10" ht="15" thickTop="1" x14ac:dyDescent="0.2">
      <c r="A69" s="24"/>
      <c r="B69" s="25" t="s">
        <v>47</v>
      </c>
      <c r="C69" s="26">
        <v>1</v>
      </c>
      <c r="D69" s="27"/>
      <c r="E69" s="26" t="s">
        <v>48</v>
      </c>
      <c r="F69" s="28"/>
      <c r="G69" s="28">
        <v>2250</v>
      </c>
      <c r="H69" s="28"/>
      <c r="I69" s="28">
        <v>2250</v>
      </c>
      <c r="J69" s="29"/>
    </row>
    <row r="70" spans="1:10" ht="14.25" x14ac:dyDescent="0.2">
      <c r="A70" s="30"/>
      <c r="B70" s="31"/>
      <c r="C70" s="32"/>
      <c r="D70" s="33"/>
      <c r="E70" s="33"/>
      <c r="F70" s="34"/>
      <c r="G70" s="34"/>
      <c r="H70" s="34"/>
      <c r="I70" s="34"/>
      <c r="J70" s="35"/>
    </row>
    <row r="71" spans="1:10" ht="14.25" x14ac:dyDescent="0.2">
      <c r="A71" s="30"/>
      <c r="B71" s="54"/>
      <c r="C71" s="55"/>
      <c r="D71" s="56"/>
      <c r="E71" s="56"/>
      <c r="F71" s="58"/>
      <c r="G71" s="58"/>
      <c r="H71" s="58"/>
      <c r="I71" s="66"/>
      <c r="J71" s="35"/>
    </row>
    <row r="73" spans="1:10" ht="14.25" x14ac:dyDescent="0.2">
      <c r="B73" s="44"/>
      <c r="C73" s="44" t="s">
        <v>16</v>
      </c>
      <c r="D73" s="45" t="s">
        <v>44</v>
      </c>
      <c r="F73" s="44"/>
      <c r="G73" s="44"/>
      <c r="H73" s="60" t="s">
        <v>18</v>
      </c>
      <c r="I73" s="45">
        <v>320</v>
      </c>
    </row>
    <row r="74" spans="1:10" ht="12" thickBot="1" x14ac:dyDescent="0.25">
      <c r="A74" s="46"/>
      <c r="B74" s="46"/>
      <c r="C74" s="46"/>
      <c r="D74" s="46"/>
      <c r="E74" s="46"/>
      <c r="F74" s="46"/>
      <c r="G74" s="46"/>
      <c r="H74" s="62"/>
      <c r="I74" s="62"/>
    </row>
    <row r="75" spans="1:10" ht="12.75" thickTop="1" x14ac:dyDescent="0.2">
      <c r="A75" s="12"/>
      <c r="B75" s="47"/>
      <c r="C75" s="36"/>
      <c r="D75" s="48"/>
      <c r="E75" s="48" t="s">
        <v>4</v>
      </c>
      <c r="F75" s="48"/>
      <c r="G75" s="48"/>
      <c r="H75" s="63" t="s">
        <v>19</v>
      </c>
      <c r="I75" s="64"/>
      <c r="J75" s="13"/>
    </row>
    <row r="76" spans="1:10" ht="12.75" thickBot="1" x14ac:dyDescent="0.25">
      <c r="A76" s="18"/>
      <c r="B76" s="51" t="s">
        <v>6</v>
      </c>
      <c r="C76" s="52"/>
      <c r="D76" s="53" t="s">
        <v>20</v>
      </c>
      <c r="E76" s="53" t="s">
        <v>9</v>
      </c>
      <c r="F76" s="53" t="s">
        <v>10</v>
      </c>
      <c r="G76" s="53" t="s">
        <v>11</v>
      </c>
      <c r="H76" s="65" t="s">
        <v>10</v>
      </c>
      <c r="I76" s="65" t="s">
        <v>11</v>
      </c>
      <c r="J76" s="23"/>
    </row>
    <row r="77" spans="1:10" ht="15" thickTop="1" x14ac:dyDescent="0.2">
      <c r="A77" s="24"/>
      <c r="B77" s="25" t="s">
        <v>40</v>
      </c>
      <c r="C77" s="26">
        <v>30</v>
      </c>
      <c r="D77" s="27"/>
      <c r="E77" s="26" t="s">
        <v>48</v>
      </c>
      <c r="F77" s="28">
        <v>1000</v>
      </c>
      <c r="G77" s="28"/>
      <c r="H77" s="28">
        <v>1000</v>
      </c>
      <c r="I77" s="28"/>
      <c r="J77" s="29"/>
    </row>
    <row r="78" spans="1:10" ht="14.25" x14ac:dyDescent="0.2">
      <c r="A78" s="30"/>
      <c r="B78" s="31"/>
      <c r="C78" s="32"/>
      <c r="D78" s="33"/>
      <c r="E78" s="33"/>
      <c r="F78" s="34"/>
      <c r="G78" s="34"/>
      <c r="H78" s="34"/>
      <c r="I78" s="34"/>
      <c r="J78" s="35"/>
    </row>
    <row r="79" spans="1:10" ht="14.25" x14ac:dyDescent="0.2">
      <c r="A79" s="30"/>
      <c r="B79" s="54"/>
      <c r="C79" s="55"/>
      <c r="D79" s="56"/>
      <c r="E79" s="56"/>
      <c r="F79" s="58"/>
      <c r="G79" s="58"/>
      <c r="H79" s="58"/>
      <c r="I79" s="66"/>
      <c r="J79" s="35"/>
    </row>
    <row r="81" spans="1:10" ht="14.25" x14ac:dyDescent="0.2">
      <c r="B81" s="44"/>
      <c r="C81" s="44" t="s">
        <v>16</v>
      </c>
      <c r="D81" s="45" t="s">
        <v>13</v>
      </c>
      <c r="F81" s="44"/>
      <c r="G81" s="44"/>
      <c r="H81" s="60" t="s">
        <v>18</v>
      </c>
      <c r="I81" s="45">
        <v>410</v>
      </c>
    </row>
    <row r="82" spans="1:10" ht="12" thickBot="1" x14ac:dyDescent="0.25">
      <c r="A82" s="46"/>
      <c r="B82" s="46"/>
      <c r="C82" s="46"/>
      <c r="D82" s="46"/>
      <c r="E82" s="46"/>
      <c r="F82" s="46"/>
      <c r="G82" s="46"/>
      <c r="H82" s="62"/>
      <c r="I82" s="62"/>
    </row>
    <row r="83" spans="1:10" ht="12.75" thickTop="1" x14ac:dyDescent="0.2">
      <c r="A83" s="12"/>
      <c r="B83" s="47"/>
      <c r="C83" s="36"/>
      <c r="D83" s="48"/>
      <c r="E83" s="48" t="s">
        <v>4</v>
      </c>
      <c r="F83" s="48"/>
      <c r="G83" s="48"/>
      <c r="H83" s="63" t="s">
        <v>19</v>
      </c>
      <c r="I83" s="64"/>
      <c r="J83" s="13"/>
    </row>
    <row r="84" spans="1:10" ht="12.75" thickBot="1" x14ac:dyDescent="0.25">
      <c r="A84" s="18"/>
      <c r="B84" s="51" t="s">
        <v>6</v>
      </c>
      <c r="C84" s="52"/>
      <c r="D84" s="53" t="s">
        <v>20</v>
      </c>
      <c r="E84" s="53" t="s">
        <v>9</v>
      </c>
      <c r="F84" s="53" t="s">
        <v>10</v>
      </c>
      <c r="G84" s="53" t="s">
        <v>11</v>
      </c>
      <c r="H84" s="65" t="s">
        <v>10</v>
      </c>
      <c r="I84" s="65" t="s">
        <v>11</v>
      </c>
      <c r="J84" s="23"/>
    </row>
    <row r="85" spans="1:10" ht="15" thickTop="1" x14ac:dyDescent="0.2">
      <c r="A85" s="24"/>
      <c r="B85" s="25" t="s">
        <v>40</v>
      </c>
      <c r="C85" s="26">
        <v>10</v>
      </c>
      <c r="D85" s="27"/>
      <c r="E85" s="26" t="s">
        <v>48</v>
      </c>
      <c r="F85" s="28"/>
      <c r="G85" s="28">
        <v>360</v>
      </c>
      <c r="H85" s="28"/>
      <c r="I85" s="28">
        <v>360</v>
      </c>
      <c r="J85" s="29"/>
    </row>
    <row r="86" spans="1:10" ht="14.25" x14ac:dyDescent="0.2">
      <c r="A86" s="30"/>
      <c r="B86" s="31"/>
      <c r="C86" s="32">
        <v>13</v>
      </c>
      <c r="D86" s="33"/>
      <c r="E86" s="33" t="s">
        <v>48</v>
      </c>
      <c r="F86" s="34"/>
      <c r="G86" s="34">
        <v>1500</v>
      </c>
      <c r="H86" s="34"/>
      <c r="I86" s="34">
        <f>I85+G86</f>
        <v>1860</v>
      </c>
      <c r="J86" s="35"/>
    </row>
    <row r="87" spans="1:10" ht="14.25" x14ac:dyDescent="0.2">
      <c r="A87" s="30"/>
      <c r="B87" s="54"/>
      <c r="C87" s="55"/>
      <c r="D87" s="56"/>
      <c r="E87" s="56"/>
      <c r="F87" s="58"/>
      <c r="G87" s="58"/>
      <c r="H87" s="58"/>
      <c r="I87" s="66"/>
      <c r="J87" s="35"/>
    </row>
    <row r="89" spans="1:10" ht="14.25" x14ac:dyDescent="0.2">
      <c r="B89" s="44"/>
      <c r="C89" s="44" t="s">
        <v>16</v>
      </c>
      <c r="D89" s="45" t="s">
        <v>24</v>
      </c>
      <c r="F89" s="44"/>
      <c r="G89" s="44"/>
      <c r="H89" s="60" t="s">
        <v>18</v>
      </c>
      <c r="I89" s="45">
        <v>510</v>
      </c>
    </row>
    <row r="90" spans="1:10" ht="12" thickBot="1" x14ac:dyDescent="0.25">
      <c r="A90" s="46"/>
      <c r="B90" s="46"/>
      <c r="C90" s="46"/>
      <c r="D90" s="46"/>
      <c r="E90" s="46"/>
      <c r="F90" s="46"/>
      <c r="G90" s="46"/>
      <c r="H90" s="62"/>
      <c r="I90" s="62"/>
    </row>
    <row r="91" spans="1:10" ht="12.75" thickTop="1" x14ac:dyDescent="0.2">
      <c r="A91" s="12"/>
      <c r="B91" s="47"/>
      <c r="C91" s="36"/>
      <c r="D91" s="48"/>
      <c r="E91" s="48" t="s">
        <v>4</v>
      </c>
      <c r="F91" s="48"/>
      <c r="G91" s="48"/>
      <c r="H91" s="63" t="s">
        <v>19</v>
      </c>
      <c r="I91" s="64"/>
      <c r="J91" s="13"/>
    </row>
    <row r="92" spans="1:10" ht="12.75" thickBot="1" x14ac:dyDescent="0.25">
      <c r="A92" s="18"/>
      <c r="B92" s="51" t="s">
        <v>6</v>
      </c>
      <c r="C92" s="52"/>
      <c r="D92" s="53" t="s">
        <v>20</v>
      </c>
      <c r="E92" s="53" t="s">
        <v>9</v>
      </c>
      <c r="F92" s="53" t="s">
        <v>10</v>
      </c>
      <c r="G92" s="53" t="s">
        <v>11</v>
      </c>
      <c r="H92" s="65" t="s">
        <v>10</v>
      </c>
      <c r="I92" s="65" t="s">
        <v>11</v>
      </c>
      <c r="J92" s="23"/>
    </row>
    <row r="93" spans="1:10" ht="15" thickTop="1" x14ac:dyDescent="0.2">
      <c r="A93" s="24"/>
      <c r="B93" s="25" t="s">
        <v>40</v>
      </c>
      <c r="C93" s="26">
        <v>18</v>
      </c>
      <c r="D93" s="27"/>
      <c r="E93" s="26" t="s">
        <v>48</v>
      </c>
      <c r="F93" s="28">
        <v>68</v>
      </c>
      <c r="G93" s="28"/>
      <c r="H93" s="28">
        <v>68</v>
      </c>
      <c r="I93" s="28"/>
      <c r="J93" s="29"/>
    </row>
    <row r="94" spans="1:10" ht="14.25" x14ac:dyDescent="0.2">
      <c r="A94" s="30"/>
      <c r="B94" s="31"/>
      <c r="C94" s="32"/>
      <c r="D94" s="33"/>
      <c r="E94" s="33"/>
      <c r="F94" s="34"/>
      <c r="G94" s="34"/>
      <c r="H94" s="34"/>
      <c r="I94" s="34"/>
      <c r="J94" s="35"/>
    </row>
    <row r="95" spans="1:10" ht="14.25" x14ac:dyDescent="0.2">
      <c r="A95" s="30"/>
      <c r="B95" s="54"/>
      <c r="C95" s="55"/>
      <c r="D95" s="56"/>
      <c r="E95" s="56"/>
      <c r="F95" s="58"/>
      <c r="G95" s="58"/>
      <c r="H95" s="58"/>
      <c r="I95" s="66"/>
      <c r="J95" s="35"/>
    </row>
  </sheetData>
  <sheetProtection selectLockedCells="1"/>
  <printOptions horizontalCentered="1"/>
  <pageMargins left="0.25" right="0.25" top="0.5" bottom="0.5" header="0.5" footer="0.5"/>
  <pageSetup orientation="portrait" horizontalDpi="4294967293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6C9F7E6-24E8-435D-93B2-CEA0123A57D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DCE75F1-0C59-466A-BC90-4F54BC9228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3326729-D11D-4D3C-B2EF-8E88891A72F5}">
  <ds:schemaRefs>
    <ds:schemaRef ds:uri="http://schemas.microsoft.com/office/2006/metadata/properties"/>
    <ds:schemaRef ds:uri="http://schemas.microsoft.com/office/2006/documentManagement/types"/>
    <ds:schemaRef ds:uri="d5bf7610-0a90-45dc-b926-1b234e6c6756"/>
    <ds:schemaRef ds:uri="d758baea-510e-4597-bb40-a09e4fc0f415"/>
    <ds:schemaRef ds:uri="http://purl.org/dc/dcmitype/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own 4-2 General Journal KEY</vt:lpstr>
      <vt:lpstr>own 4-2 General Journal</vt:lpstr>
      <vt:lpstr>own 4-2 General Ledger</vt:lpstr>
      <vt:lpstr>'own 4-2 General Ledger'!answer2</vt:lpstr>
      <vt:lpstr>'own 4-2 General Ledger'!total2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Kim Steffanina</dc:creator>
  <cp:lastModifiedBy>PATIL, DHRUV</cp:lastModifiedBy>
  <cp:lastPrinted>2007-10-25T13:40:12Z</cp:lastPrinted>
  <dcterms:created xsi:type="dcterms:W3CDTF">2007-09-30T22:00:19Z</dcterms:created>
  <dcterms:modified xsi:type="dcterms:W3CDTF">2023-10-20T16:13:55Z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6800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