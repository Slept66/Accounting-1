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8/"/>
    </mc:Choice>
  </mc:AlternateContent>
  <xr:revisionPtr revIDLastSave="354" documentId="8_{A155C9DD-91A7-4896-9566-C3D5258B9C8C}" xr6:coauthVersionLast="47" xr6:coauthVersionMax="47" xr10:uidLastSave="{0074E335-F8E5-46EF-A210-5AA928B5A000}"/>
  <bookViews>
    <workbookView xWindow="-120" yWindow="-120" windowWidth="21840" windowHeight="13140" activeTab="1" xr2:uid="{00000000-000D-0000-FFFF-FFFF00000000}"/>
  </bookViews>
  <sheets>
    <sheet name="Work Sheets" sheetId="21" r:id="rId1"/>
    <sheet name="work 8-1 thru 8-2" sheetId="23" r:id="rId2"/>
    <sheet name="own 8-1 thru 8-2" sheetId="26" r:id="rId3"/>
  </sheets>
  <externalReferences>
    <externalReference r:id="rId4"/>
  </externalReferences>
  <definedNames>
    <definedName name="answer2">#REF!,#REF!,#REF!,#REF!,#REF!,#REF!,#REF!</definedName>
    <definedName name="answer3">'[1]2-2 Accounts Receivable Ledger'!$B$7:$H$10,'[1]2-2 Accounts Receivable Ledger'!$B$17:$H$20,'[1]2-2 Accounts Receivable Ledger'!$B$27:$H$30</definedName>
    <definedName name="_xlnm.Print_Area" localSheetId="2">'own 8-1 thru 8-2'!$A$1:$T$140</definedName>
    <definedName name="_xlnm.Print_Area" localSheetId="1">'work 8-1 thru 8-2'!$A$1:$T$140</definedName>
    <definedName name="_xlnm.Print_Area" localSheetId="0">'Work Sheets'!$A$1:$G$64</definedName>
    <definedName name="_xlnm.Print_Titles" localSheetId="0">'Work Sheets'!$A:$B,'Work Sheets'!$1:$9</definedName>
    <definedName name="total2">#REF!,#REF!,#REF!,#REF!,#REF!,#REF!,#REF!</definedName>
    <definedName name="total3">'[1]2-2 Accounts Receivable Ledger'!$D$11:$H$11,'[1]2-2 Accounts Receivable Ledger'!$D$21:$H$21,'[1]2-2 Accounts Receivable Ledger'!$D$31:$H$31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0" i="23" l="1"/>
  <c r="G19" i="23"/>
  <c r="H42" i="26" l="1"/>
  <c r="G42" i="26"/>
  <c r="H40" i="26"/>
  <c r="G39" i="26"/>
  <c r="G38" i="26"/>
  <c r="G37" i="26"/>
  <c r="G36" i="26"/>
  <c r="G35" i="26"/>
  <c r="D41" i="26"/>
  <c r="D40" i="26"/>
  <c r="D39" i="26"/>
  <c r="D38" i="26"/>
  <c r="D37" i="26"/>
  <c r="D36" i="26"/>
  <c r="D35" i="26"/>
  <c r="D30" i="26"/>
  <c r="R68" i="26"/>
  <c r="S61" i="26"/>
  <c r="P61" i="26"/>
  <c r="P77" i="26"/>
  <c r="S60" i="26"/>
  <c r="Q60" i="26"/>
  <c r="S76" i="26"/>
  <c r="P76" i="26"/>
  <c r="S75" i="26"/>
  <c r="Q75" i="26"/>
  <c r="P84" i="26"/>
  <c r="H22" i="26"/>
  <c r="G21" i="26"/>
  <c r="G12" i="26"/>
  <c r="H11" i="26"/>
  <c r="G10" i="26"/>
  <c r="D22" i="26"/>
  <c r="D21" i="26"/>
  <c r="D20" i="26"/>
  <c r="D19" i="26"/>
  <c r="D13" i="26"/>
  <c r="D12" i="26"/>
  <c r="D11" i="26"/>
  <c r="D10" i="26"/>
  <c r="H42" i="23"/>
  <c r="G42" i="23"/>
  <c r="H40" i="23"/>
  <c r="G39" i="23"/>
  <c r="G38" i="23"/>
  <c r="G37" i="23"/>
  <c r="G36" i="23"/>
  <c r="G35" i="23"/>
  <c r="D41" i="23"/>
  <c r="D40" i="23"/>
  <c r="D39" i="23"/>
  <c r="D38" i="23"/>
  <c r="D37" i="23"/>
  <c r="D36" i="23"/>
  <c r="D35" i="23"/>
  <c r="N2" i="23"/>
  <c r="D21" i="23"/>
  <c r="S61" i="23"/>
  <c r="S60" i="23"/>
  <c r="F19" i="23"/>
  <c r="E21" i="23"/>
  <c r="E19" i="23"/>
  <c r="D22" i="23"/>
  <c r="D20" i="23"/>
  <c r="S76" i="23"/>
  <c r="G12" i="23"/>
  <c r="H18" i="23"/>
  <c r="H17" i="23"/>
  <c r="H16" i="23"/>
  <c r="H15" i="23"/>
  <c r="H14" i="23"/>
  <c r="H13" i="23"/>
  <c r="D18" i="23"/>
  <c r="D17" i="23"/>
  <c r="D16" i="23"/>
  <c r="D15" i="23"/>
  <c r="D14" i="23"/>
  <c r="D13" i="23"/>
  <c r="D12" i="23"/>
  <c r="P84" i="23"/>
  <c r="H11" i="23"/>
  <c r="G10" i="23"/>
  <c r="D11" i="23"/>
  <c r="D10" i="23"/>
  <c r="I10" i="26"/>
  <c r="I11" i="26" s="1"/>
  <c r="I12" i="26" s="1"/>
  <c r="I13" i="26" s="1"/>
  <c r="I14" i="26" s="1"/>
  <c r="I15" i="26" s="1"/>
  <c r="I16" i="26" s="1"/>
  <c r="I17" i="26" s="1"/>
  <c r="I18" i="26" s="1"/>
  <c r="I19" i="26" s="1"/>
  <c r="I20" i="26" s="1"/>
  <c r="I21" i="26" s="1"/>
  <c r="I22" i="26" s="1"/>
  <c r="I23" i="26" s="1"/>
  <c r="I24" i="26" s="1"/>
  <c r="I25" i="26" s="1"/>
  <c r="I26" i="26" s="1"/>
  <c r="A10" i="26"/>
  <c r="A11" i="26" s="1"/>
  <c r="A12" i="26" s="1"/>
  <c r="A13" i="26" s="1"/>
  <c r="A14" i="26" s="1"/>
  <c r="A15" i="26" s="1"/>
  <c r="A16" i="26" s="1"/>
  <c r="A17" i="26" s="1"/>
  <c r="A18" i="26" s="1"/>
  <c r="A19" i="26" s="1"/>
  <c r="A20" i="26" s="1"/>
  <c r="A21" i="26" s="1"/>
  <c r="A22" i="26" s="1"/>
  <c r="A23" i="26" s="1"/>
  <c r="A24" i="26" s="1"/>
  <c r="A25" i="26" s="1"/>
  <c r="A26" i="26" s="1"/>
  <c r="N2" i="26"/>
  <c r="R43" i="23"/>
  <c r="I10" i="23"/>
  <c r="I11" i="23" s="1"/>
  <c r="I12" i="23"/>
  <c r="I13" i="23"/>
  <c r="I14" i="23" s="1"/>
  <c r="I15" i="23" s="1"/>
  <c r="I16" i="23" s="1"/>
  <c r="I17" i="23" s="1"/>
  <c r="I18" i="23" s="1"/>
  <c r="I19" i="23" s="1"/>
  <c r="I20" i="23" s="1"/>
  <c r="I21" i="23" s="1"/>
  <c r="I22" i="23" s="1"/>
  <c r="I23" i="23" s="1"/>
  <c r="I24" i="23" s="1"/>
  <c r="I25" i="23" s="1"/>
  <c r="I26" i="23" s="1"/>
  <c r="A10" i="23"/>
  <c r="A11" i="23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F60" i="21"/>
  <c r="E60" i="21"/>
  <c r="D60" i="21"/>
  <c r="C60" i="21"/>
  <c r="G45" i="21"/>
  <c r="G46" i="21" s="1"/>
  <c r="G47" i="21" s="1"/>
  <c r="G48" i="21" s="1"/>
  <c r="G49" i="21"/>
  <c r="G50" i="21"/>
  <c r="G51" i="21" s="1"/>
  <c r="G52" i="21" s="1"/>
  <c r="G53" i="21" s="1"/>
  <c r="G54" i="21"/>
  <c r="G55" i="21" s="1"/>
  <c r="G56" i="21" s="1"/>
  <c r="G57" i="21" s="1"/>
  <c r="G58" i="21" s="1"/>
  <c r="G59" i="21" s="1"/>
  <c r="G60" i="21" s="1"/>
  <c r="G61" i="21" s="1"/>
  <c r="G62" i="21" s="1"/>
  <c r="G63" i="21" s="1"/>
  <c r="G64" i="21" s="1"/>
  <c r="A45" i="2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E27" i="21"/>
  <c r="F27" i="21"/>
  <c r="G12" i="21"/>
  <c r="G13" i="21" s="1"/>
  <c r="G14" i="21" s="1"/>
  <c r="G15" i="21" s="1"/>
  <c r="G16" i="21" s="1"/>
  <c r="G17" i="21" s="1"/>
  <c r="G18" i="21" s="1"/>
  <c r="G19" i="21" s="1"/>
  <c r="G20" i="21" s="1"/>
  <c r="G21" i="21" s="1"/>
  <c r="G22" i="21" s="1"/>
  <c r="G23" i="21" s="1"/>
  <c r="G24" i="21" s="1"/>
  <c r="G25" i="21" s="1"/>
  <c r="G26" i="21" s="1"/>
  <c r="G27" i="21" s="1"/>
  <c r="G28" i="21" s="1"/>
  <c r="G29" i="21" s="1"/>
  <c r="G30" i="21" s="1"/>
  <c r="G31" i="21" s="1"/>
  <c r="A12" i="2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E29" i="21"/>
  <c r="D27" i="21"/>
  <c r="C27" i="21"/>
  <c r="B3" i="21" l="1"/>
  <c r="D30" i="23" s="1"/>
  <c r="D29" i="21"/>
  <c r="C28" i="21"/>
  <c r="C29" i="21" s="1"/>
  <c r="F61" i="21"/>
  <c r="F62" i="21" s="1"/>
  <c r="E62" i="21"/>
  <c r="F28" i="21"/>
  <c r="F29" i="21" s="1"/>
  <c r="D62" i="21"/>
  <c r="C61" i="21"/>
  <c r="C62" i="21" s="1"/>
</calcChain>
</file>

<file path=xl/sharedStrings.xml><?xml version="1.0" encoding="utf-8"?>
<sst xmlns="http://schemas.openxmlformats.org/spreadsheetml/2006/main" count="610" uniqueCount="78">
  <si>
    <t>Name:</t>
  </si>
  <si>
    <t>GENERAL JOURNAL</t>
  </si>
  <si>
    <t>PAGE</t>
  </si>
  <si>
    <t>DOC.</t>
  </si>
  <si>
    <t>POST.</t>
  </si>
  <si>
    <t>GENERAL</t>
  </si>
  <si>
    <t>DATE</t>
  </si>
  <si>
    <t>ACCOUNT TITLE</t>
  </si>
  <si>
    <t>NO.</t>
  </si>
  <si>
    <t>REF.</t>
  </si>
  <si>
    <t>DEBIT</t>
  </si>
  <si>
    <t>CREDIT</t>
  </si>
  <si>
    <t>ACCOUNT</t>
  </si>
  <si>
    <t>ACCOUNT NO.</t>
  </si>
  <si>
    <t>BALANCE</t>
  </si>
  <si>
    <t>ITEM</t>
  </si>
  <si>
    <t>Supplies</t>
  </si>
  <si>
    <t>Prepaid Insurance</t>
  </si>
  <si>
    <t>Supplies Expense</t>
  </si>
  <si>
    <t>Insurance Expense</t>
  </si>
  <si>
    <t>NAME:</t>
  </si>
  <si>
    <t>Balance</t>
  </si>
  <si>
    <t>P</t>
  </si>
  <si>
    <t>Sales</t>
  </si>
  <si>
    <t>Income Summary</t>
  </si>
  <si>
    <t>Advertising Expense</t>
  </si>
  <si>
    <t>Miscellaneous Expense</t>
  </si>
  <si>
    <t>Utilities Expense</t>
  </si>
  <si>
    <t>Account Title</t>
  </si>
  <si>
    <t>Debit</t>
  </si>
  <si>
    <t>Credit</t>
  </si>
  <si>
    <t>Cash</t>
  </si>
  <si>
    <t>Petty Cash</t>
  </si>
  <si>
    <t xml:space="preserve"> </t>
  </si>
  <si>
    <t>DO NOT PRINT THIS SHEET</t>
  </si>
  <si>
    <t>Work Sheet</t>
  </si>
  <si>
    <t>INCOME STATEMENT</t>
  </si>
  <si>
    <t>BALANCE SHEET</t>
  </si>
  <si>
    <t>Net Income</t>
  </si>
  <si>
    <t>Accounting 1 work together 8-1</t>
  </si>
  <si>
    <t>page 222, textbook</t>
  </si>
  <si>
    <t>For the Month Ended April 30, 20--</t>
  </si>
  <si>
    <t>Accounts Receivable - B. Widell</t>
  </si>
  <si>
    <t xml:space="preserve">Supplies  </t>
  </si>
  <si>
    <t>Accounts Payable - Southside Supplies</t>
  </si>
  <si>
    <t>Connor Whitney - Capital</t>
  </si>
  <si>
    <t>Connor Whitney - Drawing</t>
  </si>
  <si>
    <t>Cash Short and Over</t>
  </si>
  <si>
    <t>Accounting 1 on your own 8-1</t>
  </si>
  <si>
    <t>Repair World</t>
  </si>
  <si>
    <t>For the Month Ended Dec 31, 20--</t>
  </si>
  <si>
    <t>Accounts Receivable - Eat Right Eatery</t>
  </si>
  <si>
    <t>Accounts Payable - Lakeville Supplies</t>
  </si>
  <si>
    <t>Sawyer Parker - Capital</t>
  </si>
  <si>
    <t>Sawyer Parker - Drawing</t>
  </si>
  <si>
    <t>work together 8-1 thru 8-2</t>
  </si>
  <si>
    <t>on your own 8-1 thru 8-2</t>
  </si>
  <si>
    <t>Connor Whitney, Capital</t>
  </si>
  <si>
    <t>Connor Whitney, Drawing</t>
  </si>
  <si>
    <t>Apr</t>
  </si>
  <si>
    <t>page 222 textbook</t>
  </si>
  <si>
    <t>Sawyer Parker, Capital</t>
  </si>
  <si>
    <t>Sawyer Parker, Drawing</t>
  </si>
  <si>
    <t>Dec</t>
  </si>
  <si>
    <t>Closing Entries</t>
  </si>
  <si>
    <t xml:space="preserve">Apr </t>
  </si>
  <si>
    <t>CLO. ENT.</t>
  </si>
  <si>
    <t>G8</t>
  </si>
  <si>
    <t>Dhruv Patil</t>
  </si>
  <si>
    <t>April 30, 20--</t>
  </si>
  <si>
    <t xml:space="preserve">Totals </t>
  </si>
  <si>
    <t xml:space="preserve">Closing Entiries </t>
  </si>
  <si>
    <t>B24</t>
  </si>
  <si>
    <t>G24</t>
  </si>
  <si>
    <t>Post-Closing Trail Balance</t>
  </si>
  <si>
    <t xml:space="preserve">Post-Closing Trail Balance </t>
  </si>
  <si>
    <t>December 31, 20--</t>
  </si>
  <si>
    <t>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</si>
</sst>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mmm\ d\,\ yyyy;@"/>
  </numFmts>
  <fonts count="18" x14ac:knownFonts="1">
    <font>
      <sz val="10"/>
      <name val="Arial"/>
    </font>
    <font>
      <sz val="10"/>
      <name val="Arial"/>
    </font>
    <font>
      <sz val="8"/>
      <name val="Arial"/>
    </font>
    <font>
      <sz val="12"/>
      <name val="Arial"/>
    </font>
    <font>
      <sz val="6"/>
      <name val="Arial"/>
    </font>
    <font>
      <sz val="9"/>
      <name val="Arial"/>
    </font>
    <font>
      <sz val="11"/>
      <name val="Arial"/>
      <family val="2"/>
    </font>
    <font>
      <b/>
      <sz val="12"/>
      <name val="Arial"/>
      <family val="2"/>
    </font>
    <font>
      <sz val="11"/>
      <name val="Arial"/>
    </font>
    <font>
      <sz val="8"/>
      <name val="Arial"/>
      <family val="2"/>
    </font>
    <font>
      <b/>
      <sz val="11"/>
      <name val="Wingdings 2"/>
      <family val="1"/>
      <charset val="2"/>
    </font>
    <font>
      <sz val="10"/>
      <name val="Arial"/>
    </font>
    <font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6"/>
      <name val="Arial"/>
      <family val="2"/>
    </font>
    <font>
      <sz val="9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4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3" fontId="11" fillId="0" borderId="0" applyFont="0" applyFill="0" applyBorder="0" applyAlignment="0" applyProtection="0"/>
  </cellStyleXfs>
  <cellXfs count="127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0" fontId="2" fillId="0" borderId="0" xfId="0" applyFont="1"/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1" fillId="0" borderId="0" xfId="0" applyFont="1"/>
    <xf numFmtId="0" fontId="4" fillId="0" borderId="2" xfId="0" applyFont="1" applyBorder="1"/>
    <xf numFmtId="0" fontId="4" fillId="0" borderId="2" xfId="0" applyFont="1" applyBorder="1" applyAlignment="1">
      <alignment horizontal="center"/>
    </xf>
    <xf numFmtId="0" fontId="4" fillId="0" borderId="0" xfId="0" applyFont="1"/>
    <xf numFmtId="0" fontId="5" fillId="0" borderId="3" xfId="0" applyFont="1" applyBorder="1"/>
    <xf numFmtId="0" fontId="5" fillId="0" borderId="4" xfId="0" applyFont="1" applyBorder="1"/>
    <xf numFmtId="0" fontId="5" fillId="0" borderId="0" xfId="0" applyFont="1"/>
    <xf numFmtId="0" fontId="5" fillId="0" borderId="5" xfId="0" applyFont="1" applyBorder="1" applyAlignment="1">
      <alignment horizontal="center"/>
    </xf>
    <xf numFmtId="0" fontId="5" fillId="0" borderId="0" xfId="0" applyFont="1" applyAlignment="1">
      <alignment horizontal="centerContinuous" vertical="center"/>
    </xf>
    <xf numFmtId="0" fontId="5" fillId="0" borderId="1" xfId="0" applyFont="1" applyBorder="1" applyAlignment="1">
      <alignment horizontal="centerContinuous" vertical="center"/>
    </xf>
    <xf numFmtId="0" fontId="5" fillId="0" borderId="6" xfId="0" applyFont="1" applyBorder="1"/>
    <xf numFmtId="0" fontId="5" fillId="0" borderId="7" xfId="0" applyFont="1" applyBorder="1" applyAlignment="1">
      <alignment horizontal="centerContinuous"/>
    </xf>
    <xf numFmtId="0" fontId="5" fillId="0" borderId="8" xfId="0" applyFont="1" applyBorder="1" applyAlignment="1">
      <alignment horizontal="centerContinuous"/>
    </xf>
    <xf numFmtId="0" fontId="5" fillId="0" borderId="9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7" xfId="0" applyFont="1" applyBorder="1"/>
    <xf numFmtId="0" fontId="4" fillId="0" borderId="11" xfId="0" applyFont="1" applyBorder="1"/>
    <xf numFmtId="0" fontId="6" fillId="0" borderId="12" xfId="0" applyFont="1" applyBorder="1" applyProtection="1">
      <protection locked="0"/>
    </xf>
    <xf numFmtId="0" fontId="6" fillId="0" borderId="13" xfId="0" applyFont="1" applyBorder="1" applyAlignment="1" applyProtection="1">
      <alignment horizontal="center"/>
      <protection locked="0"/>
    </xf>
    <xf numFmtId="0" fontId="6" fillId="0" borderId="13" xfId="0" applyFont="1" applyBorder="1" applyProtection="1">
      <protection locked="0"/>
    </xf>
    <xf numFmtId="43" fontId="6" fillId="0" borderId="13" xfId="1" applyFont="1" applyBorder="1" applyProtection="1">
      <protection locked="0"/>
    </xf>
    <xf numFmtId="0" fontId="4" fillId="0" borderId="14" xfId="0" applyFont="1" applyBorder="1" applyAlignment="1">
      <alignment horizontal="left"/>
    </xf>
    <xf numFmtId="0" fontId="4" fillId="0" borderId="15" xfId="0" applyFont="1" applyBorder="1"/>
    <xf numFmtId="0" fontId="6" fillId="0" borderId="16" xfId="0" applyFont="1" applyBorder="1" applyProtection="1">
      <protection locked="0"/>
    </xf>
    <xf numFmtId="0" fontId="6" fillId="0" borderId="17" xfId="0" applyFont="1" applyBorder="1" applyAlignment="1" applyProtection="1">
      <alignment horizontal="center"/>
      <protection locked="0"/>
    </xf>
    <xf numFmtId="0" fontId="6" fillId="0" borderId="17" xfId="0" applyFont="1" applyBorder="1" applyProtection="1">
      <protection locked="0"/>
    </xf>
    <xf numFmtId="43" fontId="6" fillId="0" borderId="17" xfId="1" applyFont="1" applyBorder="1" applyProtection="1">
      <protection locked="0"/>
    </xf>
    <xf numFmtId="0" fontId="4" fillId="0" borderId="18" xfId="0" applyFont="1" applyBorder="1" applyAlignment="1">
      <alignment horizontal="left"/>
    </xf>
    <xf numFmtId="0" fontId="6" fillId="0" borderId="17" xfId="0" applyFont="1" applyBorder="1" applyAlignment="1" applyProtection="1">
      <alignment horizontal="left" indent="1"/>
      <protection locked="0"/>
    </xf>
    <xf numFmtId="0" fontId="7" fillId="0" borderId="1" xfId="0" applyFont="1" applyBorder="1" applyAlignment="1" applyProtection="1">
      <alignment horizontal="left"/>
      <protection locked="0"/>
    </xf>
    <xf numFmtId="0" fontId="3" fillId="0" borderId="1" xfId="0" applyFont="1" applyBorder="1" applyProtection="1">
      <protection locked="0"/>
    </xf>
    <xf numFmtId="0" fontId="3" fillId="0" borderId="1" xfId="0" applyFont="1" applyBorder="1" applyAlignment="1" applyProtection="1">
      <alignment horizontal="center"/>
      <protection locked="0"/>
    </xf>
    <xf numFmtId="0" fontId="6" fillId="0" borderId="17" xfId="0" applyFont="1" applyBorder="1" applyAlignment="1" applyProtection="1">
      <alignment horizontal="left"/>
      <protection locked="0"/>
    </xf>
    <xf numFmtId="0" fontId="2" fillId="0" borderId="1" xfId="0" applyFont="1" applyBorder="1" applyAlignment="1">
      <alignment horizontal="right"/>
    </xf>
    <xf numFmtId="0" fontId="8" fillId="0" borderId="0" xfId="0" applyFont="1"/>
    <xf numFmtId="0" fontId="2" fillId="0" borderId="2" xfId="0" applyFont="1" applyBorder="1"/>
    <xf numFmtId="0" fontId="2" fillId="0" borderId="4" xfId="0" applyFont="1" applyBorder="1"/>
    <xf numFmtId="0" fontId="2" fillId="0" borderId="5" xfId="0" applyFont="1" applyBorder="1" applyAlignment="1">
      <alignment horizontal="center"/>
    </xf>
    <xf numFmtId="0" fontId="2" fillId="0" borderId="7" xfId="0" applyFont="1" applyBorder="1" applyAlignment="1">
      <alignment horizontal="centerContinuous"/>
    </xf>
    <xf numFmtId="0" fontId="2" fillId="0" borderId="8" xfId="0" applyFont="1" applyBorder="1" applyAlignment="1">
      <alignment horizontal="centerContinuous"/>
    </xf>
    <xf numFmtId="0" fontId="2" fillId="0" borderId="9" xfId="0" applyFont="1" applyBorder="1" applyAlignment="1">
      <alignment horizontal="center"/>
    </xf>
    <xf numFmtId="0" fontId="6" fillId="0" borderId="16" xfId="0" applyFont="1" applyBorder="1"/>
    <xf numFmtId="0" fontId="6" fillId="0" borderId="17" xfId="0" applyFont="1" applyBorder="1" applyAlignment="1">
      <alignment horizontal="center"/>
    </xf>
    <xf numFmtId="0" fontId="6" fillId="0" borderId="17" xfId="0" applyFont="1" applyBorder="1"/>
    <xf numFmtId="43" fontId="6" fillId="0" borderId="17" xfId="1" applyFont="1" applyBorder="1" applyProtection="1"/>
    <xf numFmtId="0" fontId="9" fillId="0" borderId="0" xfId="0" applyFont="1"/>
    <xf numFmtId="0" fontId="9" fillId="0" borderId="1" xfId="0" applyFont="1" applyBorder="1" applyAlignment="1">
      <alignment horizontal="right"/>
    </xf>
    <xf numFmtId="0" fontId="6" fillId="0" borderId="0" xfId="0" applyFont="1"/>
    <xf numFmtId="0" fontId="9" fillId="0" borderId="2" xfId="0" applyFont="1" applyBorder="1"/>
    <xf numFmtId="0" fontId="9" fillId="0" borderId="1" xfId="0" applyFont="1" applyBorder="1" applyAlignment="1">
      <alignment horizontal="centerContinuous"/>
    </xf>
    <xf numFmtId="0" fontId="9" fillId="0" borderId="11" xfId="0" applyFont="1" applyBorder="1" applyAlignment="1">
      <alignment horizontal="centerContinuous"/>
    </xf>
    <xf numFmtId="0" fontId="9" fillId="0" borderId="9" xfId="0" applyFont="1" applyBorder="1" applyAlignment="1">
      <alignment horizontal="center"/>
    </xf>
    <xf numFmtId="39" fontId="6" fillId="0" borderId="17" xfId="1" applyNumberFormat="1" applyFont="1" applyBorder="1" applyProtection="1"/>
    <xf numFmtId="0" fontId="7" fillId="0" borderId="1" xfId="0" applyFont="1" applyBorder="1" applyAlignment="1">
      <alignment horizontal="left"/>
    </xf>
    <xf numFmtId="0" fontId="10" fillId="0" borderId="13" xfId="0" applyFont="1" applyBorder="1" applyAlignment="1" applyProtection="1">
      <alignment horizontal="center"/>
      <protection locked="0"/>
    </xf>
    <xf numFmtId="0" fontId="7" fillId="0" borderId="0" xfId="0" applyFont="1"/>
    <xf numFmtId="43" fontId="3" fillId="0" borderId="19" xfId="1" applyFont="1" applyBorder="1"/>
    <xf numFmtId="43" fontId="3" fillId="0" borderId="16" xfId="1" applyFont="1" applyBorder="1"/>
    <xf numFmtId="0" fontId="3" fillId="0" borderId="20" xfId="0" applyFont="1" applyBorder="1"/>
    <xf numFmtId="0" fontId="3" fillId="0" borderId="12" xfId="0" applyFont="1" applyBorder="1"/>
    <xf numFmtId="0" fontId="12" fillId="0" borderId="0" xfId="0" applyFont="1"/>
    <xf numFmtId="0" fontId="13" fillId="0" borderId="0" xfId="0" applyFont="1"/>
    <xf numFmtId="0" fontId="12" fillId="0" borderId="1" xfId="0" applyFont="1" applyBorder="1" applyAlignment="1">
      <alignment horizontal="center"/>
    </xf>
    <xf numFmtId="0" fontId="12" fillId="0" borderId="1" xfId="0" applyFont="1" applyBorder="1"/>
    <xf numFmtId="0" fontId="14" fillId="0" borderId="0" xfId="0" applyFont="1"/>
    <xf numFmtId="0" fontId="12" fillId="0" borderId="22" xfId="0" applyFont="1" applyBorder="1"/>
    <xf numFmtId="0" fontId="15" fillId="0" borderId="2" xfId="0" applyFont="1" applyBorder="1"/>
    <xf numFmtId="0" fontId="15" fillId="0" borderId="0" xfId="0" applyFont="1"/>
    <xf numFmtId="0" fontId="16" fillId="0" borderId="3" xfId="0" applyFont="1" applyBorder="1"/>
    <xf numFmtId="0" fontId="16" fillId="0" borderId="5" xfId="0" applyFont="1" applyBorder="1" applyAlignment="1">
      <alignment horizontal="center"/>
    </xf>
    <xf numFmtId="0" fontId="5" fillId="0" borderId="2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6" xfId="0" applyFont="1" applyBorder="1" applyAlignment="1">
      <alignment horizontal="centerContinuous"/>
    </xf>
    <xf numFmtId="0" fontId="16" fillId="0" borderId="0" xfId="0" applyFont="1"/>
    <xf numFmtId="0" fontId="16" fillId="0" borderId="6" xfId="0" applyFont="1" applyBorder="1"/>
    <xf numFmtId="0" fontId="16" fillId="0" borderId="9" xfId="0" applyFont="1" applyBorder="1" applyAlignment="1">
      <alignment horizontal="center"/>
    </xf>
    <xf numFmtId="0" fontId="15" fillId="0" borderId="23" xfId="0" applyFont="1" applyBorder="1"/>
    <xf numFmtId="0" fontId="6" fillId="0" borderId="23" xfId="0" applyFont="1" applyBorder="1"/>
    <xf numFmtId="43" fontId="6" fillId="0" borderId="23" xfId="2" applyFont="1" applyBorder="1"/>
    <xf numFmtId="0" fontId="4" fillId="0" borderId="1" xfId="0" applyFont="1" applyBorder="1" applyAlignment="1">
      <alignment horizontal="left"/>
    </xf>
    <xf numFmtId="0" fontId="15" fillId="0" borderId="15" xfId="0" applyFont="1" applyBorder="1"/>
    <xf numFmtId="43" fontId="6" fillId="0" borderId="17" xfId="2" applyFont="1" applyBorder="1"/>
    <xf numFmtId="43" fontId="6" fillId="0" borderId="27" xfId="2" applyFont="1" applyBorder="1"/>
    <xf numFmtId="0" fontId="6" fillId="0" borderId="28" xfId="0" applyFont="1" applyBorder="1"/>
    <xf numFmtId="43" fontId="6" fillId="0" borderId="19" xfId="2" applyFont="1" applyBorder="1"/>
    <xf numFmtId="0" fontId="6" fillId="0" borderId="13" xfId="0" applyFont="1" applyBorder="1"/>
    <xf numFmtId="43" fontId="6" fillId="0" borderId="13" xfId="2" applyFont="1" applyBorder="1"/>
    <xf numFmtId="43" fontId="6" fillId="0" borderId="29" xfId="2" applyFont="1" applyBorder="1"/>
    <xf numFmtId="43" fontId="6" fillId="0" borderId="30" xfId="2" applyFont="1" applyBorder="1"/>
    <xf numFmtId="43" fontId="6" fillId="0" borderId="31" xfId="2" applyFont="1" applyBorder="1"/>
    <xf numFmtId="43" fontId="6" fillId="0" borderId="32" xfId="2" applyFont="1" applyBorder="1"/>
    <xf numFmtId="43" fontId="6" fillId="0" borderId="21" xfId="2" applyFont="1" applyBorder="1"/>
    <xf numFmtId="43" fontId="3" fillId="0" borderId="33" xfId="1" applyFont="1" applyBorder="1"/>
    <xf numFmtId="43" fontId="3" fillId="0" borderId="24" xfId="1" applyFont="1" applyBorder="1"/>
    <xf numFmtId="0" fontId="17" fillId="0" borderId="17" xfId="0" applyFont="1" applyBorder="1" applyAlignment="1" applyProtection="1">
      <alignment horizontal="center"/>
      <protection locked="0"/>
    </xf>
    <xf numFmtId="43" fontId="3" fillId="0" borderId="37" xfId="1" applyFont="1" applyBorder="1"/>
    <xf numFmtId="43" fontId="3" fillId="0" borderId="39" xfId="1" applyFont="1" applyBorder="1"/>
    <xf numFmtId="43" fontId="3" fillId="0" borderId="20" xfId="1" applyFont="1" applyBorder="1"/>
    <xf numFmtId="43" fontId="3" fillId="0" borderId="12" xfId="1" applyFont="1" applyBorder="1"/>
    <xf numFmtId="43" fontId="3" fillId="0" borderId="21" xfId="1" applyFont="1" applyBorder="1"/>
    <xf numFmtId="43" fontId="3" fillId="0" borderId="40" xfId="1" applyFont="1" applyBorder="1"/>
    <xf numFmtId="0" fontId="6" fillId="0" borderId="16" xfId="0" applyFont="1" applyBorder="1" applyAlignment="1">
      <alignment horizontal="left" indent="1"/>
    </xf>
    <xf numFmtId="0" fontId="6" fillId="0" borderId="28" xfId="0" applyFont="1" applyBorder="1" applyAlignment="1">
      <alignment horizontal="left" indent="1"/>
    </xf>
    <xf numFmtId="0" fontId="6" fillId="0" borderId="13" xfId="0" applyFont="1" applyBorder="1" applyAlignment="1">
      <alignment horizontal="left" indent="1"/>
    </xf>
    <xf numFmtId="0" fontId="6" fillId="0" borderId="17" xfId="0" applyFont="1" applyBorder="1" applyAlignment="1">
      <alignment horizontal="left" indent="1"/>
    </xf>
    <xf numFmtId="43" fontId="6" fillId="0" borderId="17" xfId="0" applyNumberFormat="1" applyFont="1" applyBorder="1"/>
    <xf numFmtId="0" fontId="12" fillId="0" borderId="20" xfId="0" applyFont="1" applyBorder="1"/>
    <xf numFmtId="0" fontId="5" fillId="0" borderId="34" xfId="0" applyFont="1" applyBorder="1" applyAlignment="1">
      <alignment horizontal="center"/>
    </xf>
    <xf numFmtId="0" fontId="5" fillId="0" borderId="35" xfId="0" applyFont="1" applyBorder="1" applyAlignment="1">
      <alignment horizontal="center"/>
    </xf>
    <xf numFmtId="0" fontId="5" fillId="0" borderId="36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37" xfId="0" applyFont="1" applyBorder="1" applyAlignment="1">
      <alignment horizontal="center"/>
    </xf>
    <xf numFmtId="0" fontId="5" fillId="0" borderId="38" xfId="0" applyFont="1" applyBorder="1" applyAlignment="1">
      <alignment horizontal="center"/>
    </xf>
    <xf numFmtId="0" fontId="12" fillId="0" borderId="17" xfId="0" applyFont="1" applyBorder="1" applyAlignment="1">
      <alignment horizontal="left"/>
    </xf>
    <xf numFmtId="0" fontId="3" fillId="0" borderId="17" xfId="0" applyFont="1" applyBorder="1" applyAlignment="1">
      <alignment horizontal="left"/>
    </xf>
    <xf numFmtId="0" fontId="7" fillId="0" borderId="1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164" fontId="7" fillId="0" borderId="22" xfId="0" applyNumberFormat="1" applyFont="1" applyBorder="1" applyAlignment="1">
      <alignment horizontal="center"/>
    </xf>
    <xf numFmtId="0" fontId="3" fillId="0" borderId="13" xfId="0" applyFont="1" applyBorder="1" applyAlignment="1">
      <alignment horizontal="center"/>
    </xf>
  </cellXfs>
  <cellStyles count="3">
    <cellStyle name="Comma" xfId="1" builtinId="3"/>
    <cellStyle name="Comma 2" xfId="2" xr:uid="{00000000-0005-0000-0000-000001000000}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HP_Owner\My%20Documents\School\Accounting\Accounting%202\Chapter%202\Chap%202%20Student%20Spreadsheets\2-2%20wor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-2 Cash Receipts Journal"/>
      <sheetName val="2-2 General Ledger"/>
      <sheetName val="2-2 Accounts Receivable Ledger"/>
      <sheetName val="1-1 Key"/>
    </sheetNames>
    <sheetDataSet>
      <sheetData sheetId="0"/>
      <sheetData sheetId="1" refreshError="1"/>
      <sheetData sheetId="2">
        <row r="7">
          <cell r="B7" t="str">
            <v>Feb</v>
          </cell>
          <cell r="C7">
            <v>1</v>
          </cell>
          <cell r="D7" t="str">
            <v>Balance</v>
          </cell>
          <cell r="E7" t="str">
            <v>P</v>
          </cell>
          <cell r="H7">
            <v>3286</v>
          </cell>
        </row>
        <row r="11">
          <cell r="D11" t="str">
            <v>Check your total</v>
          </cell>
          <cell r="H11">
            <v>318</v>
          </cell>
        </row>
        <row r="17">
          <cell r="B17" t="str">
            <v>Feb</v>
          </cell>
          <cell r="C17">
            <v>1</v>
          </cell>
          <cell r="D17" t="str">
            <v>Balance</v>
          </cell>
          <cell r="E17" t="str">
            <v>P</v>
          </cell>
          <cell r="H17">
            <v>848</v>
          </cell>
        </row>
        <row r="21">
          <cell r="D21" t="str">
            <v>Check your total</v>
          </cell>
          <cell r="H21">
            <v>0</v>
          </cell>
        </row>
        <row r="27">
          <cell r="B27" t="str">
            <v>Feb</v>
          </cell>
          <cell r="C27">
            <v>1</v>
          </cell>
          <cell r="D27" t="str">
            <v>Balance</v>
          </cell>
          <cell r="E27" t="str">
            <v>P</v>
          </cell>
          <cell r="H27">
            <v>1590</v>
          </cell>
        </row>
        <row r="31">
          <cell r="D31" t="str">
            <v>Check your total</v>
          </cell>
          <cell r="H31">
            <v>318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64"/>
  <sheetViews>
    <sheetView topLeftCell="A13" zoomScaleNormal="100" workbookViewId="0">
      <selection activeCell="D20" sqref="D20"/>
    </sheetView>
  </sheetViews>
  <sheetFormatPr defaultColWidth="9.140625" defaultRowHeight="11.25" x14ac:dyDescent="0.2"/>
  <cols>
    <col min="1" max="1" width="2.5703125" style="52" bestFit="1" customWidth="1"/>
    <col min="2" max="2" width="38.42578125" style="52" bestFit="1" customWidth="1"/>
    <col min="3" max="4" width="10.5703125" style="52" bestFit="1" customWidth="1"/>
    <col min="5" max="6" width="11.7109375" style="52" bestFit="1" customWidth="1"/>
    <col min="7" max="7" width="2.5703125" style="52" bestFit="1" customWidth="1"/>
    <col min="8" max="16384" width="9.140625" style="52"/>
  </cols>
  <sheetData>
    <row r="1" spans="1:7" ht="15" x14ac:dyDescent="0.2">
      <c r="B1" s="67" t="s">
        <v>39</v>
      </c>
      <c r="C1" s="68" t="s">
        <v>40</v>
      </c>
      <c r="E1" s="68"/>
    </row>
    <row r="2" spans="1:7" ht="8.25" customHeight="1" x14ac:dyDescent="0.2">
      <c r="A2" s="67"/>
    </row>
    <row r="3" spans="1:7" s="68" customFormat="1" ht="15" x14ac:dyDescent="0.2">
      <c r="A3" s="69" t="s">
        <v>33</v>
      </c>
      <c r="B3" s="70" t="b">
        <f>'work 8-1 thru 8-2'!G35='work 8-1 thru 8-2'!G36='work 8-1 thru 8-2'!G3</f>
        <v>1</v>
      </c>
      <c r="D3" s="71"/>
    </row>
    <row r="4" spans="1:7" s="68" customFormat="1" ht="15" x14ac:dyDescent="0.2">
      <c r="A4" s="69" t="s">
        <v>33</v>
      </c>
      <c r="B4" s="72" t="s">
        <v>35</v>
      </c>
    </row>
    <row r="5" spans="1:7" s="68" customFormat="1" ht="15" x14ac:dyDescent="0.2">
      <c r="A5" s="69" t="s">
        <v>33</v>
      </c>
      <c r="B5" s="72" t="s">
        <v>41</v>
      </c>
    </row>
    <row r="6" spans="1:7" s="74" customFormat="1" ht="9" thickBot="1" x14ac:dyDescent="0.2">
      <c r="A6" s="73"/>
      <c r="B6" s="73"/>
      <c r="C6" s="9">
        <v>5</v>
      </c>
      <c r="D6" s="9">
        <v>6</v>
      </c>
      <c r="E6" s="9">
        <v>7</v>
      </c>
      <c r="F6" s="9">
        <v>8</v>
      </c>
      <c r="G6" s="8"/>
    </row>
    <row r="7" spans="1:7" s="81" customFormat="1" ht="12.95" customHeight="1" thickTop="1" x14ac:dyDescent="0.2">
      <c r="A7" s="75"/>
      <c r="B7" s="76"/>
      <c r="C7" s="77" t="s">
        <v>36</v>
      </c>
      <c r="D7" s="78"/>
      <c r="E7" s="79" t="s">
        <v>37</v>
      </c>
      <c r="F7" s="80"/>
      <c r="G7" s="12"/>
    </row>
    <row r="8" spans="1:7" s="81" customFormat="1" ht="12.95" customHeight="1" x14ac:dyDescent="0.2">
      <c r="A8" s="75"/>
      <c r="B8" s="76"/>
      <c r="C8" s="115" t="s">
        <v>10</v>
      </c>
      <c r="D8" s="117" t="s">
        <v>11</v>
      </c>
      <c r="E8" s="115" t="s">
        <v>10</v>
      </c>
      <c r="F8" s="119" t="s">
        <v>11</v>
      </c>
      <c r="G8" s="12"/>
    </row>
    <row r="9" spans="1:7" s="81" customFormat="1" ht="12.95" customHeight="1" thickBot="1" x14ac:dyDescent="0.25">
      <c r="A9" s="82"/>
      <c r="B9" s="83" t="s">
        <v>7</v>
      </c>
      <c r="C9" s="116"/>
      <c r="D9" s="118"/>
      <c r="E9" s="116"/>
      <c r="F9" s="120"/>
      <c r="G9" s="22"/>
    </row>
    <row r="10" spans="1:7" ht="15.95" customHeight="1" thickTop="1" x14ac:dyDescent="0.2">
      <c r="A10" s="84"/>
      <c r="B10" s="85"/>
      <c r="C10" s="86"/>
      <c r="D10" s="86"/>
      <c r="E10" s="86"/>
      <c r="F10" s="86"/>
      <c r="G10" s="87"/>
    </row>
    <row r="11" spans="1:7" ht="15.95" customHeight="1" x14ac:dyDescent="0.2">
      <c r="A11" s="88">
        <v>11</v>
      </c>
      <c r="B11" s="50" t="s">
        <v>31</v>
      </c>
      <c r="C11" s="89"/>
      <c r="D11" s="89"/>
      <c r="E11" s="89">
        <v>4900</v>
      </c>
      <c r="F11" s="90"/>
      <c r="G11" s="34">
        <v>11</v>
      </c>
    </row>
    <row r="12" spans="1:7" ht="15.95" customHeight="1" x14ac:dyDescent="0.2">
      <c r="A12" s="88">
        <f>A11+1</f>
        <v>12</v>
      </c>
      <c r="B12" s="48" t="s">
        <v>32</v>
      </c>
      <c r="C12" s="89"/>
      <c r="D12" s="89"/>
      <c r="E12" s="89">
        <v>75</v>
      </c>
      <c r="F12" s="90"/>
      <c r="G12" s="34">
        <f>G11+1</f>
        <v>12</v>
      </c>
    </row>
    <row r="13" spans="1:7" ht="15.95" customHeight="1" x14ac:dyDescent="0.2">
      <c r="A13" s="88">
        <f t="shared" ref="A13:A31" si="0">A12+1</f>
        <v>13</v>
      </c>
      <c r="B13" s="48" t="s">
        <v>42</v>
      </c>
      <c r="C13" s="89"/>
      <c r="D13" s="89"/>
      <c r="E13" s="89">
        <v>1387</v>
      </c>
      <c r="F13" s="90"/>
      <c r="G13" s="34">
        <f t="shared" ref="G13:G31" si="1">G12+1</f>
        <v>13</v>
      </c>
    </row>
    <row r="14" spans="1:7" ht="15.95" customHeight="1" x14ac:dyDescent="0.2">
      <c r="A14" s="88">
        <f t="shared" si="0"/>
        <v>14</v>
      </c>
      <c r="B14" s="48" t="s">
        <v>43</v>
      </c>
      <c r="C14" s="89"/>
      <c r="D14" s="89"/>
      <c r="E14" s="89">
        <v>75</v>
      </c>
      <c r="F14" s="90"/>
      <c r="G14" s="34">
        <f t="shared" si="1"/>
        <v>14</v>
      </c>
    </row>
    <row r="15" spans="1:7" ht="15.95" customHeight="1" x14ac:dyDescent="0.2">
      <c r="A15" s="88">
        <f t="shared" si="0"/>
        <v>15</v>
      </c>
      <c r="B15" s="48" t="s">
        <v>17</v>
      </c>
      <c r="C15" s="89"/>
      <c r="D15" s="89"/>
      <c r="E15" s="89">
        <v>250</v>
      </c>
      <c r="F15" s="90"/>
      <c r="G15" s="34">
        <f t="shared" si="1"/>
        <v>15</v>
      </c>
    </row>
    <row r="16" spans="1:7" ht="15.95" customHeight="1" x14ac:dyDescent="0.2">
      <c r="A16" s="88">
        <f t="shared" si="0"/>
        <v>16</v>
      </c>
      <c r="B16" s="48" t="s">
        <v>44</v>
      </c>
      <c r="C16" s="89"/>
      <c r="D16" s="89"/>
      <c r="E16" s="89"/>
      <c r="F16" s="90">
        <v>267</v>
      </c>
      <c r="G16" s="34">
        <f t="shared" si="1"/>
        <v>16</v>
      </c>
    </row>
    <row r="17" spans="1:7" ht="15.95" customHeight="1" x14ac:dyDescent="0.2">
      <c r="A17" s="88">
        <f t="shared" si="0"/>
        <v>17</v>
      </c>
      <c r="B17" s="48" t="s">
        <v>45</v>
      </c>
      <c r="C17" s="89"/>
      <c r="D17" s="89"/>
      <c r="E17" s="89"/>
      <c r="F17" s="90">
        <v>7443</v>
      </c>
      <c r="G17" s="34">
        <f t="shared" si="1"/>
        <v>17</v>
      </c>
    </row>
    <row r="18" spans="1:7" ht="15.95" customHeight="1" x14ac:dyDescent="0.2">
      <c r="A18" s="88">
        <f t="shared" si="0"/>
        <v>18</v>
      </c>
      <c r="B18" s="48" t="s">
        <v>46</v>
      </c>
      <c r="C18" s="89"/>
      <c r="D18" s="89"/>
      <c r="E18" s="89">
        <v>1700</v>
      </c>
      <c r="F18" s="90"/>
      <c r="G18" s="34">
        <f t="shared" si="1"/>
        <v>18</v>
      </c>
    </row>
    <row r="19" spans="1:7" ht="15.95" customHeight="1" x14ac:dyDescent="0.2">
      <c r="A19" s="88">
        <f t="shared" si="0"/>
        <v>19</v>
      </c>
      <c r="B19" s="48" t="s">
        <v>24</v>
      </c>
      <c r="C19" s="89"/>
      <c r="D19" s="89"/>
      <c r="E19" s="89"/>
      <c r="F19" s="90"/>
      <c r="G19" s="34">
        <f t="shared" si="1"/>
        <v>19</v>
      </c>
    </row>
    <row r="20" spans="1:7" ht="15.95" customHeight="1" x14ac:dyDescent="0.2">
      <c r="A20" s="88">
        <f t="shared" si="0"/>
        <v>20</v>
      </c>
      <c r="B20" s="48" t="s">
        <v>23</v>
      </c>
      <c r="C20" s="89"/>
      <c r="D20" s="89">
        <v>2160</v>
      </c>
      <c r="E20" s="89"/>
      <c r="F20" s="90"/>
      <c r="G20" s="34">
        <f t="shared" si="1"/>
        <v>20</v>
      </c>
    </row>
    <row r="21" spans="1:7" ht="15.95" customHeight="1" x14ac:dyDescent="0.2">
      <c r="A21" s="88">
        <f t="shared" si="0"/>
        <v>21</v>
      </c>
      <c r="B21" s="48" t="s">
        <v>25</v>
      </c>
      <c r="C21" s="89">
        <v>460</v>
      </c>
      <c r="D21" s="89"/>
      <c r="E21" s="89"/>
      <c r="F21" s="90"/>
      <c r="G21" s="34">
        <f t="shared" si="1"/>
        <v>21</v>
      </c>
    </row>
    <row r="22" spans="1:7" ht="15.95" customHeight="1" x14ac:dyDescent="0.2">
      <c r="A22" s="88">
        <f t="shared" si="0"/>
        <v>22</v>
      </c>
      <c r="B22" s="48" t="s">
        <v>47</v>
      </c>
      <c r="C22" s="89">
        <v>6</v>
      </c>
      <c r="D22" s="89"/>
      <c r="E22" s="89"/>
      <c r="F22" s="90"/>
      <c r="G22" s="34">
        <f t="shared" si="1"/>
        <v>22</v>
      </c>
    </row>
    <row r="23" spans="1:7" ht="15.95" customHeight="1" x14ac:dyDescent="0.2">
      <c r="A23" s="88">
        <f t="shared" si="0"/>
        <v>23</v>
      </c>
      <c r="B23" s="91" t="s">
        <v>19</v>
      </c>
      <c r="C23" s="89">
        <v>125</v>
      </c>
      <c r="D23" s="89"/>
      <c r="E23" s="89"/>
      <c r="F23" s="92"/>
      <c r="G23" s="34">
        <f t="shared" si="1"/>
        <v>23</v>
      </c>
    </row>
    <row r="24" spans="1:7" ht="15.95" customHeight="1" x14ac:dyDescent="0.2">
      <c r="A24" s="88">
        <f t="shared" si="0"/>
        <v>24</v>
      </c>
      <c r="B24" s="93" t="s">
        <v>26</v>
      </c>
      <c r="C24" s="94">
        <v>189</v>
      </c>
      <c r="D24" s="94"/>
      <c r="E24" s="94"/>
      <c r="F24" s="95"/>
      <c r="G24" s="34">
        <f t="shared" si="1"/>
        <v>24</v>
      </c>
    </row>
    <row r="25" spans="1:7" ht="15.95" customHeight="1" x14ac:dyDescent="0.2">
      <c r="A25" s="88">
        <f t="shared" si="0"/>
        <v>25</v>
      </c>
      <c r="B25" s="50" t="s">
        <v>18</v>
      </c>
      <c r="C25" s="89">
        <v>153</v>
      </c>
      <c r="D25" s="89"/>
      <c r="E25" s="89"/>
      <c r="F25" s="90"/>
      <c r="G25" s="34">
        <f t="shared" si="1"/>
        <v>25</v>
      </c>
    </row>
    <row r="26" spans="1:7" ht="15.95" customHeight="1" thickBot="1" x14ac:dyDescent="0.25">
      <c r="A26" s="88">
        <f t="shared" si="0"/>
        <v>26</v>
      </c>
      <c r="B26" s="91" t="s">
        <v>27</v>
      </c>
      <c r="C26" s="96">
        <v>550</v>
      </c>
      <c r="D26" s="96"/>
      <c r="E26" s="96"/>
      <c r="F26" s="97"/>
      <c r="G26" s="34">
        <f t="shared" si="1"/>
        <v>26</v>
      </c>
    </row>
    <row r="27" spans="1:7" ht="15.95" customHeight="1" x14ac:dyDescent="0.2">
      <c r="A27" s="88">
        <f t="shared" si="0"/>
        <v>27</v>
      </c>
      <c r="B27" s="93"/>
      <c r="C27" s="94">
        <f>SUM(C11:C26)</f>
        <v>1483</v>
      </c>
      <c r="D27" s="94">
        <f>SUM(D11:D26)</f>
        <v>2160</v>
      </c>
      <c r="E27" s="94">
        <f>SUM(E11:E26)</f>
        <v>8387</v>
      </c>
      <c r="F27" s="94">
        <f>SUM(F11:F26)</f>
        <v>7710</v>
      </c>
      <c r="G27" s="34">
        <f t="shared" si="1"/>
        <v>27</v>
      </c>
    </row>
    <row r="28" spans="1:7" ht="15.95" customHeight="1" thickBot="1" x14ac:dyDescent="0.25">
      <c r="A28" s="88">
        <f t="shared" si="0"/>
        <v>28</v>
      </c>
      <c r="B28" s="50" t="s">
        <v>38</v>
      </c>
      <c r="C28" s="96">
        <f>D27-C27</f>
        <v>677</v>
      </c>
      <c r="D28" s="96"/>
      <c r="E28" s="96"/>
      <c r="F28" s="97">
        <f>E27-F27</f>
        <v>677</v>
      </c>
      <c r="G28" s="34">
        <f t="shared" si="1"/>
        <v>28</v>
      </c>
    </row>
    <row r="29" spans="1:7" ht="15.95" customHeight="1" thickBot="1" x14ac:dyDescent="0.25">
      <c r="A29" s="88">
        <f t="shared" si="0"/>
        <v>29</v>
      </c>
      <c r="B29" s="91"/>
      <c r="C29" s="98">
        <f>SUM(C27:C28)</f>
        <v>2160</v>
      </c>
      <c r="D29" s="98">
        <f>SUM(D27:D28)</f>
        <v>2160</v>
      </c>
      <c r="E29" s="98">
        <f>SUM(E27:E28)</f>
        <v>8387</v>
      </c>
      <c r="F29" s="99">
        <f>SUM(F27:F28)</f>
        <v>8387</v>
      </c>
      <c r="G29" s="34">
        <f t="shared" si="1"/>
        <v>29</v>
      </c>
    </row>
    <row r="30" spans="1:7" ht="15" thickTop="1" x14ac:dyDescent="0.2">
      <c r="A30" s="88">
        <f t="shared" si="0"/>
        <v>30</v>
      </c>
      <c r="B30" s="50"/>
      <c r="C30" s="89"/>
      <c r="D30" s="89"/>
      <c r="E30" s="89"/>
      <c r="F30" s="90"/>
      <c r="G30" s="34">
        <f t="shared" si="1"/>
        <v>30</v>
      </c>
    </row>
    <row r="31" spans="1:7" ht="14.25" x14ac:dyDescent="0.2">
      <c r="A31" s="88">
        <f t="shared" si="0"/>
        <v>31</v>
      </c>
      <c r="B31" s="50"/>
      <c r="C31" s="89"/>
      <c r="D31" s="89"/>
      <c r="E31" s="89"/>
      <c r="F31" s="90"/>
      <c r="G31" s="34">
        <f t="shared" si="1"/>
        <v>31</v>
      </c>
    </row>
    <row r="34" spans="1:7" ht="15" x14ac:dyDescent="0.2">
      <c r="B34" s="67" t="s">
        <v>48</v>
      </c>
      <c r="C34" s="68" t="s">
        <v>40</v>
      </c>
      <c r="E34" s="68"/>
    </row>
    <row r="35" spans="1:7" ht="8.25" customHeight="1" x14ac:dyDescent="0.2">
      <c r="A35" s="67"/>
    </row>
    <row r="36" spans="1:7" s="68" customFormat="1" ht="15" x14ac:dyDescent="0.2">
      <c r="A36" s="69" t="s">
        <v>33</v>
      </c>
      <c r="B36" s="70" t="s">
        <v>49</v>
      </c>
      <c r="D36" s="71" t="s">
        <v>34</v>
      </c>
    </row>
    <row r="37" spans="1:7" s="68" customFormat="1" ht="15" x14ac:dyDescent="0.2">
      <c r="A37" s="69" t="s">
        <v>33</v>
      </c>
      <c r="B37" s="72" t="s">
        <v>35</v>
      </c>
    </row>
    <row r="38" spans="1:7" s="68" customFormat="1" ht="15" x14ac:dyDescent="0.2">
      <c r="A38" s="69" t="s">
        <v>33</v>
      </c>
      <c r="B38" s="72" t="s">
        <v>50</v>
      </c>
    </row>
    <row r="39" spans="1:7" s="74" customFormat="1" ht="9" thickBot="1" x14ac:dyDescent="0.2">
      <c r="A39" s="73"/>
      <c r="B39" s="73"/>
      <c r="C39" s="9">
        <v>5</v>
      </c>
      <c r="D39" s="9">
        <v>6</v>
      </c>
      <c r="E39" s="9">
        <v>7</v>
      </c>
      <c r="F39" s="9">
        <v>8</v>
      </c>
      <c r="G39" s="8"/>
    </row>
    <row r="40" spans="1:7" s="81" customFormat="1" ht="12.95" customHeight="1" thickTop="1" x14ac:dyDescent="0.2">
      <c r="A40" s="75"/>
      <c r="B40" s="76"/>
      <c r="C40" s="77" t="s">
        <v>36</v>
      </c>
      <c r="D40" s="78"/>
      <c r="E40" s="79" t="s">
        <v>37</v>
      </c>
      <c r="F40" s="80"/>
      <c r="G40" s="12"/>
    </row>
    <row r="41" spans="1:7" s="81" customFormat="1" ht="12.95" customHeight="1" x14ac:dyDescent="0.2">
      <c r="A41" s="75"/>
      <c r="B41" s="76"/>
      <c r="C41" s="115" t="s">
        <v>10</v>
      </c>
      <c r="D41" s="117" t="s">
        <v>11</v>
      </c>
      <c r="E41" s="115" t="s">
        <v>10</v>
      </c>
      <c r="F41" s="119" t="s">
        <v>11</v>
      </c>
      <c r="G41" s="12"/>
    </row>
    <row r="42" spans="1:7" s="81" customFormat="1" ht="12.95" customHeight="1" thickBot="1" x14ac:dyDescent="0.25">
      <c r="A42" s="82"/>
      <c r="B42" s="83" t="s">
        <v>7</v>
      </c>
      <c r="C42" s="116"/>
      <c r="D42" s="118"/>
      <c r="E42" s="116"/>
      <c r="F42" s="120"/>
      <c r="G42" s="22"/>
    </row>
    <row r="43" spans="1:7" ht="15.95" customHeight="1" thickTop="1" x14ac:dyDescent="0.2">
      <c r="A43" s="84"/>
      <c r="B43" s="85"/>
      <c r="C43" s="86"/>
      <c r="D43" s="86"/>
      <c r="E43" s="86"/>
      <c r="F43" s="86"/>
      <c r="G43" s="87"/>
    </row>
    <row r="44" spans="1:7" ht="15.95" customHeight="1" x14ac:dyDescent="0.2">
      <c r="A44" s="88">
        <v>11</v>
      </c>
      <c r="B44" s="50" t="s">
        <v>31</v>
      </c>
      <c r="C44" s="89"/>
      <c r="D44" s="89"/>
      <c r="E44" s="89">
        <v>13600</v>
      </c>
      <c r="F44" s="90"/>
      <c r="G44" s="34">
        <v>11</v>
      </c>
    </row>
    <row r="45" spans="1:7" ht="15.95" customHeight="1" x14ac:dyDescent="0.2">
      <c r="A45" s="88">
        <f>A44+1</f>
        <v>12</v>
      </c>
      <c r="B45" s="48" t="s">
        <v>32</v>
      </c>
      <c r="C45" s="89"/>
      <c r="D45" s="89"/>
      <c r="E45" s="89">
        <v>150</v>
      </c>
      <c r="F45" s="90"/>
      <c r="G45" s="34">
        <f>G44+1</f>
        <v>12</v>
      </c>
    </row>
    <row r="46" spans="1:7" ht="15.95" customHeight="1" x14ac:dyDescent="0.2">
      <c r="A46" s="88">
        <f t="shared" ref="A46:A64" si="2">A45+1</f>
        <v>13</v>
      </c>
      <c r="B46" s="48" t="s">
        <v>51</v>
      </c>
      <c r="C46" s="89"/>
      <c r="D46" s="89"/>
      <c r="E46" s="89">
        <v>2996</v>
      </c>
      <c r="F46" s="90"/>
      <c r="G46" s="34">
        <f t="shared" ref="G46:G64" si="3">G45+1</f>
        <v>13</v>
      </c>
    </row>
    <row r="47" spans="1:7" ht="15.95" customHeight="1" x14ac:dyDescent="0.2">
      <c r="A47" s="88">
        <f t="shared" si="2"/>
        <v>14</v>
      </c>
      <c r="B47" s="48" t="s">
        <v>43</v>
      </c>
      <c r="C47" s="89"/>
      <c r="D47" s="89"/>
      <c r="E47" s="89">
        <v>240</v>
      </c>
      <c r="F47" s="90"/>
      <c r="G47" s="34">
        <f t="shared" si="3"/>
        <v>14</v>
      </c>
    </row>
    <row r="48" spans="1:7" ht="15.95" customHeight="1" x14ac:dyDescent="0.2">
      <c r="A48" s="88">
        <f t="shared" si="2"/>
        <v>15</v>
      </c>
      <c r="B48" s="48" t="s">
        <v>17</v>
      </c>
      <c r="C48" s="89"/>
      <c r="D48" s="89"/>
      <c r="E48" s="89">
        <v>520</v>
      </c>
      <c r="F48" s="90"/>
      <c r="G48" s="34">
        <f t="shared" si="3"/>
        <v>15</v>
      </c>
    </row>
    <row r="49" spans="1:7" ht="15.95" customHeight="1" x14ac:dyDescent="0.2">
      <c r="A49" s="88">
        <f t="shared" si="2"/>
        <v>16</v>
      </c>
      <c r="B49" s="48" t="s">
        <v>52</v>
      </c>
      <c r="C49" s="89"/>
      <c r="D49" s="89"/>
      <c r="E49" s="89"/>
      <c r="F49" s="90">
        <v>596</v>
      </c>
      <c r="G49" s="34">
        <f t="shared" si="3"/>
        <v>16</v>
      </c>
    </row>
    <row r="50" spans="1:7" ht="15.95" customHeight="1" x14ac:dyDescent="0.2">
      <c r="A50" s="88">
        <f t="shared" si="2"/>
        <v>17</v>
      </c>
      <c r="B50" s="48" t="s">
        <v>53</v>
      </c>
      <c r="C50" s="89"/>
      <c r="D50" s="89"/>
      <c r="E50" s="89"/>
      <c r="F50" s="90">
        <v>14886</v>
      </c>
      <c r="G50" s="34">
        <f t="shared" si="3"/>
        <v>17</v>
      </c>
    </row>
    <row r="51" spans="1:7" ht="15.95" customHeight="1" x14ac:dyDescent="0.2">
      <c r="A51" s="88">
        <f t="shared" si="2"/>
        <v>18</v>
      </c>
      <c r="B51" s="48" t="s">
        <v>54</v>
      </c>
      <c r="C51" s="89"/>
      <c r="D51" s="89"/>
      <c r="E51" s="89">
        <v>3400</v>
      </c>
      <c r="F51" s="90"/>
      <c r="G51" s="34">
        <f t="shared" si="3"/>
        <v>18</v>
      </c>
    </row>
    <row r="52" spans="1:7" ht="15.95" customHeight="1" x14ac:dyDescent="0.2">
      <c r="A52" s="88">
        <f t="shared" si="2"/>
        <v>19</v>
      </c>
      <c r="B52" s="48" t="s">
        <v>24</v>
      </c>
      <c r="C52" s="89"/>
      <c r="D52" s="89"/>
      <c r="E52" s="89"/>
      <c r="F52" s="90"/>
      <c r="G52" s="34">
        <f t="shared" si="3"/>
        <v>19</v>
      </c>
    </row>
    <row r="53" spans="1:7" ht="15.95" customHeight="1" x14ac:dyDescent="0.2">
      <c r="A53" s="88">
        <f t="shared" si="2"/>
        <v>20</v>
      </c>
      <c r="B53" s="48" t="s">
        <v>23</v>
      </c>
      <c r="C53" s="89"/>
      <c r="D53" s="89">
        <v>8280</v>
      </c>
      <c r="E53" s="89"/>
      <c r="F53" s="90"/>
      <c r="G53" s="34">
        <f t="shared" si="3"/>
        <v>20</v>
      </c>
    </row>
    <row r="54" spans="1:7" ht="15.95" customHeight="1" x14ac:dyDescent="0.2">
      <c r="A54" s="88">
        <f t="shared" si="2"/>
        <v>21</v>
      </c>
      <c r="B54" s="48" t="s">
        <v>25</v>
      </c>
      <c r="C54" s="89">
        <v>910</v>
      </c>
      <c r="D54" s="89"/>
      <c r="E54" s="89"/>
      <c r="F54" s="90"/>
      <c r="G54" s="34">
        <f t="shared" si="3"/>
        <v>21</v>
      </c>
    </row>
    <row r="55" spans="1:7" ht="15.95" customHeight="1" x14ac:dyDescent="0.2">
      <c r="A55" s="88">
        <f t="shared" si="2"/>
        <v>22</v>
      </c>
      <c r="B55" s="48" t="s">
        <v>47</v>
      </c>
      <c r="C55" s="89">
        <v>2</v>
      </c>
      <c r="D55" s="89"/>
      <c r="E55" s="89"/>
      <c r="F55" s="90"/>
      <c r="G55" s="34">
        <f t="shared" si="3"/>
        <v>22</v>
      </c>
    </row>
    <row r="56" spans="1:7" ht="15.95" customHeight="1" x14ac:dyDescent="0.2">
      <c r="A56" s="88">
        <f t="shared" si="2"/>
        <v>23</v>
      </c>
      <c r="B56" s="91" t="s">
        <v>19</v>
      </c>
      <c r="C56" s="89">
        <v>130</v>
      </c>
      <c r="D56" s="89"/>
      <c r="E56" s="89"/>
      <c r="F56" s="92"/>
      <c r="G56" s="34">
        <f t="shared" si="3"/>
        <v>23</v>
      </c>
    </row>
    <row r="57" spans="1:7" ht="15.95" customHeight="1" x14ac:dyDescent="0.2">
      <c r="A57" s="88">
        <f t="shared" si="2"/>
        <v>24</v>
      </c>
      <c r="B57" s="93" t="s">
        <v>26</v>
      </c>
      <c r="C57" s="94">
        <v>378</v>
      </c>
      <c r="D57" s="94"/>
      <c r="E57" s="94"/>
      <c r="F57" s="95"/>
      <c r="G57" s="34">
        <f t="shared" si="3"/>
        <v>24</v>
      </c>
    </row>
    <row r="58" spans="1:7" ht="15.95" customHeight="1" x14ac:dyDescent="0.2">
      <c r="A58" s="88">
        <f t="shared" si="2"/>
        <v>25</v>
      </c>
      <c r="B58" s="50" t="s">
        <v>18</v>
      </c>
      <c r="C58" s="89">
        <v>236</v>
      </c>
      <c r="D58" s="89"/>
      <c r="E58" s="89"/>
      <c r="F58" s="90"/>
      <c r="G58" s="34">
        <f t="shared" si="3"/>
        <v>25</v>
      </c>
    </row>
    <row r="59" spans="1:7" ht="15.95" customHeight="1" thickBot="1" x14ac:dyDescent="0.25">
      <c r="A59" s="88">
        <f t="shared" si="2"/>
        <v>26</v>
      </c>
      <c r="B59" s="91" t="s">
        <v>27</v>
      </c>
      <c r="C59" s="96">
        <v>1200</v>
      </c>
      <c r="D59" s="96"/>
      <c r="E59" s="96"/>
      <c r="F59" s="97"/>
      <c r="G59" s="34">
        <f t="shared" si="3"/>
        <v>26</v>
      </c>
    </row>
    <row r="60" spans="1:7" ht="15.95" customHeight="1" x14ac:dyDescent="0.2">
      <c r="A60" s="88">
        <f t="shared" si="2"/>
        <v>27</v>
      </c>
      <c r="B60" s="93"/>
      <c r="C60" s="94">
        <f>SUM(C44:C59)</f>
        <v>2856</v>
      </c>
      <c r="D60" s="94">
        <f>SUM(D44:D59)</f>
        <v>8280</v>
      </c>
      <c r="E60" s="94">
        <f>SUM(E44:E59)</f>
        <v>20906</v>
      </c>
      <c r="F60" s="94">
        <f>SUM(F44:F59)</f>
        <v>15482</v>
      </c>
      <c r="G60" s="34">
        <f t="shared" si="3"/>
        <v>27</v>
      </c>
    </row>
    <row r="61" spans="1:7" ht="15.95" customHeight="1" thickBot="1" x14ac:dyDescent="0.25">
      <c r="A61" s="88">
        <f t="shared" si="2"/>
        <v>28</v>
      </c>
      <c r="B61" s="50" t="s">
        <v>38</v>
      </c>
      <c r="C61" s="96">
        <f>D60-C60</f>
        <v>5424</v>
      </c>
      <c r="D61" s="96"/>
      <c r="E61" s="96"/>
      <c r="F61" s="97">
        <f>E60-F60</f>
        <v>5424</v>
      </c>
      <c r="G61" s="34">
        <f t="shared" si="3"/>
        <v>28</v>
      </c>
    </row>
    <row r="62" spans="1:7" ht="15.95" customHeight="1" thickBot="1" x14ac:dyDescent="0.25">
      <c r="A62" s="88">
        <f t="shared" si="2"/>
        <v>29</v>
      </c>
      <c r="B62" s="91"/>
      <c r="C62" s="98">
        <f>SUM(C60:C61)</f>
        <v>8280</v>
      </c>
      <c r="D62" s="98">
        <f>SUM(D60:D61)</f>
        <v>8280</v>
      </c>
      <c r="E62" s="98">
        <f>SUM(E60:E61)</f>
        <v>20906</v>
      </c>
      <c r="F62" s="99">
        <f>SUM(F60:F61)</f>
        <v>20906</v>
      </c>
      <c r="G62" s="34">
        <f t="shared" si="3"/>
        <v>29</v>
      </c>
    </row>
    <row r="63" spans="1:7" ht="15" thickTop="1" x14ac:dyDescent="0.2">
      <c r="A63" s="88">
        <f t="shared" si="2"/>
        <v>30</v>
      </c>
      <c r="B63" s="50"/>
      <c r="C63" s="89"/>
      <c r="D63" s="89"/>
      <c r="E63" s="89"/>
      <c r="F63" s="90"/>
      <c r="G63" s="34">
        <f t="shared" si="3"/>
        <v>30</v>
      </c>
    </row>
    <row r="64" spans="1:7" ht="14.25" x14ac:dyDescent="0.2">
      <c r="A64" s="88">
        <f t="shared" si="2"/>
        <v>31</v>
      </c>
      <c r="B64" s="50"/>
      <c r="C64" s="89"/>
      <c r="D64" s="89"/>
      <c r="E64" s="89"/>
      <c r="F64" s="90"/>
      <c r="G64" s="34">
        <f t="shared" si="3"/>
        <v>31</v>
      </c>
    </row>
  </sheetData>
  <mergeCells count="8">
    <mergeCell ref="C8:C9"/>
    <mergeCell ref="D8:D9"/>
    <mergeCell ref="E8:E9"/>
    <mergeCell ref="F8:F9"/>
    <mergeCell ref="C41:C42"/>
    <mergeCell ref="D41:D42"/>
    <mergeCell ref="E41:E42"/>
    <mergeCell ref="F41:F42"/>
  </mergeCells>
  <printOptions horizontalCentered="1"/>
  <pageMargins left="0.12" right="0.14000000000000001" top="0.5" bottom="0.5" header="0.25" footer="0.25"/>
  <pageSetup pageOrder="overThenDown" orientation="portrait" horizontalDpi="300" verticalDpi="300" r:id="rId1"/>
  <headerFooter alignWithMargins="0"/>
  <rowBreaks count="1" manualBreakCount="1">
    <brk id="33" max="6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T133"/>
  <sheetViews>
    <sheetView tabSelected="1" zoomScaleNormal="100" workbookViewId="0">
      <selection activeCell="D12" sqref="D12"/>
    </sheetView>
  </sheetViews>
  <sheetFormatPr defaultColWidth="9.140625" defaultRowHeight="11.25" x14ac:dyDescent="0.2"/>
  <cols>
    <col min="1" max="1" width="2.7109375" style="3" customWidth="1"/>
    <col min="2" max="2" width="5.42578125" style="3" customWidth="1"/>
    <col min="3" max="3" width="4" style="3" bestFit="1" customWidth="1"/>
    <col min="4" max="4" width="50.7109375" style="3" customWidth="1"/>
    <col min="5" max="5" width="6.28515625" style="3" customWidth="1"/>
    <col min="6" max="6" width="6.5703125" style="3" customWidth="1"/>
    <col min="7" max="8" width="12.7109375" style="3" customWidth="1"/>
    <col min="9" max="9" width="2.7109375" style="3" customWidth="1"/>
    <col min="10" max="10" width="2.85546875" style="3" customWidth="1"/>
    <col min="11" max="11" width="1.7109375" style="3" customWidth="1"/>
    <col min="12" max="12" width="5.42578125" style="3" customWidth="1"/>
    <col min="13" max="13" width="4.7109375" style="3" customWidth="1"/>
    <col min="14" max="14" width="40.7109375" style="3" customWidth="1"/>
    <col min="15" max="15" width="9.140625" style="3"/>
    <col min="16" max="19" width="12.7109375" style="3" customWidth="1"/>
    <col min="20" max="20" width="1.7109375" style="3" customWidth="1"/>
    <col min="21" max="16384" width="9.140625" style="3"/>
  </cols>
  <sheetData>
    <row r="1" spans="1:20" ht="15" customHeight="1" x14ac:dyDescent="0.25">
      <c r="A1" s="1" t="s">
        <v>55</v>
      </c>
      <c r="B1" s="1"/>
      <c r="C1" s="1"/>
      <c r="D1" s="1"/>
      <c r="E1" s="2" t="s">
        <v>0</v>
      </c>
      <c r="F1" s="36" t="s">
        <v>68</v>
      </c>
      <c r="G1" s="37"/>
      <c r="H1" s="1"/>
      <c r="I1" s="1"/>
    </row>
    <row r="2" spans="1:20" ht="15" customHeight="1" x14ac:dyDescent="0.25">
      <c r="A2" s="67" t="s">
        <v>60</v>
      </c>
      <c r="B2" s="1"/>
      <c r="C2" s="1"/>
      <c r="D2" s="1"/>
      <c r="E2" s="1"/>
      <c r="F2" s="1"/>
      <c r="G2" s="1"/>
      <c r="H2" s="1"/>
      <c r="I2" s="1"/>
      <c r="M2" s="2" t="s">
        <v>20</v>
      </c>
      <c r="N2" s="60" t="str">
        <f>F1</f>
        <v>Dhruv Patil</v>
      </c>
    </row>
    <row r="3" spans="1:20" ht="15" customHeight="1" x14ac:dyDescent="0.25">
      <c r="A3" s="1"/>
      <c r="B3" s="1"/>
      <c r="C3" s="1"/>
      <c r="D3" s="62"/>
      <c r="E3" s="1"/>
      <c r="F3" s="1"/>
      <c r="G3" s="1"/>
      <c r="H3" s="1"/>
      <c r="I3" s="1"/>
    </row>
    <row r="5" spans="1:20" s="7" customFormat="1" ht="15" x14ac:dyDescent="0.2">
      <c r="A5" s="4"/>
      <c r="B5" s="4"/>
      <c r="C5" s="4"/>
      <c r="D5" s="5" t="s">
        <v>1</v>
      </c>
      <c r="E5" s="4"/>
      <c r="F5" s="4"/>
      <c r="G5" s="6" t="s">
        <v>2</v>
      </c>
      <c r="H5" s="38">
        <v>8</v>
      </c>
      <c r="I5" s="4"/>
      <c r="K5" s="3"/>
      <c r="L5" s="40"/>
      <c r="M5" s="40" t="s">
        <v>12</v>
      </c>
      <c r="N5" s="54" t="s">
        <v>31</v>
      </c>
      <c r="O5" s="3"/>
      <c r="P5" s="40"/>
      <c r="Q5" s="40"/>
      <c r="R5" s="53" t="s">
        <v>13</v>
      </c>
      <c r="S5" s="54">
        <v>110</v>
      </c>
      <c r="T5" s="3"/>
    </row>
    <row r="6" spans="1:20" s="10" customFormat="1" ht="12" thickBot="1" x14ac:dyDescent="0.25">
      <c r="A6" s="8"/>
      <c r="B6" s="8"/>
      <c r="C6" s="8"/>
      <c r="D6" s="8"/>
      <c r="E6" s="8"/>
      <c r="F6" s="8"/>
      <c r="G6" s="9">
        <v>1</v>
      </c>
      <c r="H6" s="9">
        <v>2</v>
      </c>
      <c r="I6" s="8"/>
      <c r="K6" s="42"/>
      <c r="L6" s="42"/>
      <c r="M6" s="42"/>
      <c r="N6" s="42"/>
      <c r="O6" s="42"/>
      <c r="P6" s="42"/>
      <c r="Q6" s="42"/>
      <c r="R6" s="55"/>
      <c r="S6" s="55"/>
      <c r="T6" s="42"/>
    </row>
    <row r="7" spans="1:20" ht="12.95" customHeight="1" thickTop="1" x14ac:dyDescent="0.2">
      <c r="A7" s="11"/>
      <c r="B7" s="12"/>
      <c r="C7" s="13"/>
      <c r="D7" s="14"/>
      <c r="E7" s="14" t="s">
        <v>3</v>
      </c>
      <c r="F7" s="14" t="s">
        <v>4</v>
      </c>
      <c r="G7" s="15" t="s">
        <v>5</v>
      </c>
      <c r="H7" s="16"/>
      <c r="I7" s="12"/>
      <c r="K7" s="11"/>
      <c r="L7" s="43"/>
      <c r="N7" s="44"/>
      <c r="O7" s="44" t="s">
        <v>4</v>
      </c>
      <c r="P7" s="44"/>
      <c r="Q7" s="44"/>
      <c r="R7" s="56" t="s">
        <v>14</v>
      </c>
      <c r="S7" s="57"/>
      <c r="T7" s="12"/>
    </row>
    <row r="8" spans="1:20" ht="12.95" customHeight="1" thickBot="1" x14ac:dyDescent="0.25">
      <c r="A8" s="17"/>
      <c r="B8" s="18" t="s">
        <v>6</v>
      </c>
      <c r="C8" s="19"/>
      <c r="D8" s="20" t="s">
        <v>7</v>
      </c>
      <c r="E8" s="20" t="s">
        <v>8</v>
      </c>
      <c r="F8" s="20" t="s">
        <v>9</v>
      </c>
      <c r="G8" s="21" t="s">
        <v>10</v>
      </c>
      <c r="H8" s="21" t="s">
        <v>11</v>
      </c>
      <c r="I8" s="22"/>
      <c r="K8" s="17"/>
      <c r="L8" s="45" t="s">
        <v>6</v>
      </c>
      <c r="M8" s="46"/>
      <c r="N8" s="47" t="s">
        <v>15</v>
      </c>
      <c r="O8" s="47" t="s">
        <v>9</v>
      </c>
      <c r="P8" s="47" t="s">
        <v>10</v>
      </c>
      <c r="Q8" s="47" t="s">
        <v>11</v>
      </c>
      <c r="R8" s="58" t="s">
        <v>10</v>
      </c>
      <c r="S8" s="58" t="s">
        <v>11</v>
      </c>
      <c r="T8" s="22"/>
    </row>
    <row r="9" spans="1:20" ht="15.95" customHeight="1" thickTop="1" x14ac:dyDescent="0.25">
      <c r="A9" s="23">
        <v>1</v>
      </c>
      <c r="B9" s="30"/>
      <c r="C9" s="31"/>
      <c r="D9" s="102" t="s">
        <v>64</v>
      </c>
      <c r="E9" s="31"/>
      <c r="F9" s="32"/>
      <c r="G9" s="33"/>
      <c r="H9" s="33"/>
      <c r="I9" s="28">
        <v>1</v>
      </c>
      <c r="K9" s="23"/>
      <c r="L9" s="24" t="s">
        <v>59</v>
      </c>
      <c r="M9" s="25">
        <v>30</v>
      </c>
      <c r="N9" s="26" t="s">
        <v>21</v>
      </c>
      <c r="O9" s="61" t="s">
        <v>22</v>
      </c>
      <c r="P9" s="27"/>
      <c r="Q9" s="27"/>
      <c r="R9" s="27">
        <v>4900</v>
      </c>
      <c r="S9" s="27"/>
      <c r="T9" s="28"/>
    </row>
    <row r="10" spans="1:20" ht="15.95" customHeight="1" x14ac:dyDescent="0.2">
      <c r="A10" s="29">
        <f t="shared" ref="A10:A26" si="0">A9+1</f>
        <v>2</v>
      </c>
      <c r="B10" s="24" t="s">
        <v>65</v>
      </c>
      <c r="C10" s="25">
        <v>30</v>
      </c>
      <c r="D10" s="26" t="str">
        <f>'Work Sheets'!B20</f>
        <v>Sales</v>
      </c>
      <c r="E10" s="25" t="s">
        <v>66</v>
      </c>
      <c r="F10" s="26">
        <v>410</v>
      </c>
      <c r="G10" s="27">
        <f>'Work Sheets'!D20</f>
        <v>2160</v>
      </c>
      <c r="H10" s="27"/>
      <c r="I10" s="34">
        <f t="shared" ref="I10:I26" si="1">I9+1</f>
        <v>2</v>
      </c>
      <c r="K10" s="23"/>
      <c r="L10" s="24"/>
      <c r="M10" s="25"/>
      <c r="N10" s="26"/>
      <c r="O10" s="25"/>
      <c r="P10" s="27"/>
      <c r="Q10" s="27"/>
      <c r="R10" s="27"/>
      <c r="S10" s="27"/>
      <c r="T10" s="28"/>
    </row>
    <row r="11" spans="1:20" ht="15.95" customHeight="1" x14ac:dyDescent="0.2">
      <c r="A11" s="29">
        <f t="shared" si="0"/>
        <v>3</v>
      </c>
      <c r="B11" s="30"/>
      <c r="C11" s="31"/>
      <c r="D11" s="35" t="str">
        <f>'Work Sheets'!B19</f>
        <v>Income Summary</v>
      </c>
      <c r="E11" s="31"/>
      <c r="F11" s="32">
        <v>330</v>
      </c>
      <c r="G11" s="33"/>
      <c r="H11" s="33">
        <f>'work 8-1 thru 8-2'!G10</f>
        <v>2160</v>
      </c>
      <c r="I11" s="34">
        <f t="shared" si="1"/>
        <v>3</v>
      </c>
      <c r="K11" s="29"/>
      <c r="L11" s="48"/>
      <c r="M11" s="49"/>
      <c r="N11" s="50"/>
      <c r="O11" s="25"/>
      <c r="P11" s="51"/>
      <c r="Q11" s="51"/>
      <c r="R11" s="51"/>
      <c r="S11" s="51"/>
      <c r="T11" s="34"/>
    </row>
    <row r="12" spans="1:20" ht="15.95" customHeight="1" x14ac:dyDescent="0.2">
      <c r="A12" s="23">
        <f t="shared" si="0"/>
        <v>4</v>
      </c>
      <c r="B12" s="30"/>
      <c r="C12" s="31">
        <v>30</v>
      </c>
      <c r="D12" s="35" t="str">
        <f>'Work Sheets'!B19</f>
        <v>Income Summary</v>
      </c>
      <c r="E12" s="25" t="s">
        <v>66</v>
      </c>
      <c r="F12" s="32">
        <v>330</v>
      </c>
      <c r="G12" s="33">
        <f>SUM(H13:H18)</f>
        <v>1483</v>
      </c>
      <c r="H12" s="33"/>
      <c r="I12" s="28">
        <f t="shared" si="1"/>
        <v>4</v>
      </c>
      <c r="R12" s="52"/>
      <c r="S12" s="52"/>
    </row>
    <row r="13" spans="1:20" ht="15.95" customHeight="1" x14ac:dyDescent="0.2">
      <c r="A13" s="29">
        <f t="shared" si="0"/>
        <v>5</v>
      </c>
      <c r="B13" s="24"/>
      <c r="C13" s="25"/>
      <c r="D13" s="35" t="str">
        <f>'Work Sheets'!B21</f>
        <v>Advertising Expense</v>
      </c>
      <c r="E13" s="25"/>
      <c r="F13" s="26">
        <v>510</v>
      </c>
      <c r="G13" s="27"/>
      <c r="H13" s="27">
        <f>'Work Sheets'!C21</f>
        <v>460</v>
      </c>
      <c r="I13" s="34">
        <f t="shared" si="1"/>
        <v>5</v>
      </c>
      <c r="L13" s="40"/>
      <c r="M13" s="40" t="s">
        <v>12</v>
      </c>
      <c r="N13" s="54" t="s">
        <v>32</v>
      </c>
      <c r="P13" s="40"/>
      <c r="Q13" s="40"/>
      <c r="R13" s="53" t="s">
        <v>13</v>
      </c>
      <c r="S13" s="41">
        <v>120</v>
      </c>
    </row>
    <row r="14" spans="1:20" ht="15.95" customHeight="1" thickBot="1" x14ac:dyDescent="0.25">
      <c r="A14" s="29">
        <f t="shared" si="0"/>
        <v>6</v>
      </c>
      <c r="B14" s="30"/>
      <c r="C14" s="31"/>
      <c r="D14" s="35" t="str">
        <f>'Work Sheets'!B22</f>
        <v>Cash Short and Over</v>
      </c>
      <c r="E14" s="31"/>
      <c r="F14" s="32">
        <v>520</v>
      </c>
      <c r="G14" s="33"/>
      <c r="H14" s="33">
        <f>'Work Sheets'!C22</f>
        <v>6</v>
      </c>
      <c r="I14" s="34">
        <f t="shared" si="1"/>
        <v>6</v>
      </c>
      <c r="K14" s="42"/>
      <c r="L14" s="42"/>
      <c r="M14" s="42"/>
      <c r="N14" s="42"/>
      <c r="O14" s="42"/>
      <c r="P14" s="42"/>
      <c r="Q14" s="42"/>
      <c r="R14" s="55"/>
      <c r="S14" s="55"/>
      <c r="T14" s="42"/>
    </row>
    <row r="15" spans="1:20" ht="15.95" customHeight="1" thickTop="1" x14ac:dyDescent="0.2">
      <c r="A15" s="23">
        <f t="shared" si="0"/>
        <v>7</v>
      </c>
      <c r="B15" s="30"/>
      <c r="C15" s="25"/>
      <c r="D15" s="35" t="str">
        <f>'Work Sheets'!B23</f>
        <v>Insurance Expense</v>
      </c>
      <c r="E15" s="25"/>
      <c r="F15" s="26">
        <v>530</v>
      </c>
      <c r="G15" s="27"/>
      <c r="H15" s="27">
        <f>'Work Sheets'!C23</f>
        <v>125</v>
      </c>
      <c r="I15" s="28">
        <f t="shared" si="1"/>
        <v>7</v>
      </c>
      <c r="K15" s="11"/>
      <c r="L15" s="43"/>
      <c r="N15" s="44"/>
      <c r="O15" s="44" t="s">
        <v>4</v>
      </c>
      <c r="P15" s="44"/>
      <c r="Q15" s="44"/>
      <c r="R15" s="56" t="s">
        <v>14</v>
      </c>
      <c r="S15" s="57"/>
      <c r="T15" s="12"/>
    </row>
    <row r="16" spans="1:20" ht="15.95" customHeight="1" thickBot="1" x14ac:dyDescent="0.25">
      <c r="A16" s="29">
        <f t="shared" si="0"/>
        <v>8</v>
      </c>
      <c r="B16" s="24"/>
      <c r="C16" s="31"/>
      <c r="D16" s="35" t="str">
        <f>'Work Sheets'!B24</f>
        <v>Miscellaneous Expense</v>
      </c>
      <c r="E16" s="31"/>
      <c r="F16" s="32">
        <v>540</v>
      </c>
      <c r="G16" s="33"/>
      <c r="H16" s="33">
        <f>'Work Sheets'!C24</f>
        <v>189</v>
      </c>
      <c r="I16" s="34">
        <f t="shared" si="1"/>
        <v>8</v>
      </c>
      <c r="K16" s="17"/>
      <c r="L16" s="45" t="s">
        <v>6</v>
      </c>
      <c r="M16" s="46"/>
      <c r="N16" s="47" t="s">
        <v>15</v>
      </c>
      <c r="O16" s="47" t="s">
        <v>9</v>
      </c>
      <c r="P16" s="47" t="s">
        <v>10</v>
      </c>
      <c r="Q16" s="47" t="s">
        <v>11</v>
      </c>
      <c r="R16" s="58" t="s">
        <v>10</v>
      </c>
      <c r="S16" s="58" t="s">
        <v>11</v>
      </c>
      <c r="T16" s="22"/>
    </row>
    <row r="17" spans="1:20" ht="15.95" customHeight="1" thickTop="1" x14ac:dyDescent="0.2">
      <c r="A17" s="29">
        <f t="shared" si="0"/>
        <v>9</v>
      </c>
      <c r="B17" s="31"/>
      <c r="C17" s="35"/>
      <c r="D17" s="35" t="str">
        <f>'Work Sheets'!B25</f>
        <v>Supplies Expense</v>
      </c>
      <c r="E17" s="32"/>
      <c r="F17" s="32">
        <v>550</v>
      </c>
      <c r="G17" s="33"/>
      <c r="H17" s="33">
        <f>'Work Sheets'!C25</f>
        <v>153</v>
      </c>
      <c r="I17" s="34">
        <f t="shared" si="1"/>
        <v>9</v>
      </c>
      <c r="K17" s="23"/>
      <c r="L17" s="24" t="s">
        <v>59</v>
      </c>
      <c r="M17" s="25">
        <v>30</v>
      </c>
      <c r="N17" s="26" t="s">
        <v>21</v>
      </c>
      <c r="O17" s="61" t="s">
        <v>22</v>
      </c>
      <c r="P17" s="27"/>
      <c r="Q17" s="27"/>
      <c r="R17" s="27">
        <v>75</v>
      </c>
      <c r="S17" s="27"/>
      <c r="T17" s="28"/>
    </row>
    <row r="18" spans="1:20" ht="15.95" customHeight="1" x14ac:dyDescent="0.2">
      <c r="A18" s="23">
        <f t="shared" si="0"/>
        <v>10</v>
      </c>
      <c r="B18" s="31"/>
      <c r="C18" s="35"/>
      <c r="D18" s="35" t="str">
        <f>'Work Sheets'!B26</f>
        <v>Utilities Expense</v>
      </c>
      <c r="E18" s="32"/>
      <c r="F18" s="32">
        <v>560</v>
      </c>
      <c r="G18" s="33"/>
      <c r="H18" s="33">
        <f>'Work Sheets'!C26</f>
        <v>550</v>
      </c>
      <c r="I18" s="28">
        <f t="shared" si="1"/>
        <v>10</v>
      </c>
      <c r="K18" s="23"/>
      <c r="L18" s="24"/>
      <c r="M18" s="25"/>
      <c r="N18" s="26"/>
      <c r="O18" s="25"/>
      <c r="P18" s="27"/>
      <c r="Q18" s="27"/>
      <c r="R18" s="27"/>
      <c r="S18" s="27"/>
      <c r="T18" s="28"/>
    </row>
    <row r="19" spans="1:20" ht="15.95" customHeight="1" x14ac:dyDescent="0.2">
      <c r="A19" s="29">
        <f t="shared" si="0"/>
        <v>11</v>
      </c>
      <c r="B19" s="30"/>
      <c r="C19" s="31">
        <v>30</v>
      </c>
      <c r="D19" s="39" t="s">
        <v>24</v>
      </c>
      <c r="E19" s="31" t="str">
        <f>E10</f>
        <v>CLO. ENT.</v>
      </c>
      <c r="F19" s="32">
        <f>F12</f>
        <v>330</v>
      </c>
      <c r="G19" s="33">
        <f>G10-G12</f>
        <v>677</v>
      </c>
      <c r="H19" s="33"/>
      <c r="I19" s="34">
        <f t="shared" si="1"/>
        <v>11</v>
      </c>
      <c r="K19" s="29"/>
      <c r="L19" s="48"/>
      <c r="M19" s="49"/>
      <c r="N19" s="50"/>
      <c r="O19" s="25"/>
      <c r="P19" s="51"/>
      <c r="Q19" s="51"/>
      <c r="R19" s="59"/>
      <c r="S19" s="59"/>
      <c r="T19" s="34"/>
    </row>
    <row r="20" spans="1:20" ht="15.95" customHeight="1" x14ac:dyDescent="0.2">
      <c r="A20" s="29">
        <f t="shared" si="0"/>
        <v>12</v>
      </c>
      <c r="B20" s="30"/>
      <c r="C20" s="25"/>
      <c r="D20" s="35" t="str">
        <f>'Work Sheets'!B17</f>
        <v>Connor Whitney - Capital</v>
      </c>
      <c r="E20" s="25"/>
      <c r="F20" s="26">
        <v>310</v>
      </c>
      <c r="G20" s="27"/>
      <c r="H20" s="27">
        <f>H11-SUM(H13:H18)</f>
        <v>677</v>
      </c>
      <c r="I20" s="34">
        <f t="shared" si="1"/>
        <v>12</v>
      </c>
    </row>
    <row r="21" spans="1:20" ht="15.95" customHeight="1" x14ac:dyDescent="0.2">
      <c r="A21" s="23">
        <f t="shared" si="0"/>
        <v>13</v>
      </c>
      <c r="B21" s="30"/>
      <c r="C21" s="31">
        <v>30</v>
      </c>
      <c r="D21" s="39" t="str">
        <f>D20</f>
        <v>Connor Whitney - Capital</v>
      </c>
      <c r="E21" s="31" t="str">
        <f>E12</f>
        <v>CLO. ENT.</v>
      </c>
      <c r="F21" s="32">
        <v>310</v>
      </c>
      <c r="G21" s="33">
        <v>1700</v>
      </c>
      <c r="H21" s="33"/>
      <c r="I21" s="28">
        <f t="shared" si="1"/>
        <v>13</v>
      </c>
      <c r="L21" s="40"/>
      <c r="M21" s="40" t="s">
        <v>12</v>
      </c>
      <c r="N21" s="54" t="s">
        <v>42</v>
      </c>
      <c r="P21" s="40"/>
      <c r="Q21" s="40"/>
      <c r="R21" s="53" t="s">
        <v>13</v>
      </c>
      <c r="S21" s="54">
        <v>130</v>
      </c>
    </row>
    <row r="22" spans="1:20" ht="15.95" customHeight="1" thickBot="1" x14ac:dyDescent="0.25">
      <c r="A22" s="29">
        <f t="shared" si="0"/>
        <v>14</v>
      </c>
      <c r="B22" s="30"/>
      <c r="C22" s="31"/>
      <c r="D22" s="35" t="str">
        <f>'Work Sheets'!B18</f>
        <v>Connor Whitney - Drawing</v>
      </c>
      <c r="E22" s="31"/>
      <c r="F22" s="32">
        <v>320</v>
      </c>
      <c r="G22" s="33"/>
      <c r="H22" s="33">
        <v>1700</v>
      </c>
      <c r="I22" s="34">
        <f t="shared" si="1"/>
        <v>14</v>
      </c>
      <c r="K22" s="42"/>
      <c r="L22" s="42"/>
      <c r="M22" s="42"/>
      <c r="N22" s="42"/>
      <c r="O22" s="42"/>
      <c r="P22" s="42"/>
      <c r="Q22" s="42"/>
      <c r="R22" s="55"/>
      <c r="S22" s="55"/>
      <c r="T22" s="42"/>
    </row>
    <row r="23" spans="1:20" ht="15.95" customHeight="1" thickTop="1" x14ac:dyDescent="0.2">
      <c r="A23" s="29">
        <f t="shared" si="0"/>
        <v>15</v>
      </c>
      <c r="B23" s="30"/>
      <c r="C23" s="31"/>
      <c r="D23" s="35"/>
      <c r="E23" s="32"/>
      <c r="F23" s="32"/>
      <c r="G23" s="33"/>
      <c r="H23" s="33"/>
      <c r="I23" s="34">
        <f t="shared" si="1"/>
        <v>15</v>
      </c>
      <c r="K23" s="11"/>
      <c r="L23" s="43"/>
      <c r="N23" s="44"/>
      <c r="O23" s="44" t="s">
        <v>4</v>
      </c>
      <c r="P23" s="44"/>
      <c r="Q23" s="44"/>
      <c r="R23" s="56" t="s">
        <v>14</v>
      </c>
      <c r="S23" s="57"/>
      <c r="T23" s="12"/>
    </row>
    <row r="24" spans="1:20" ht="15" thickBot="1" x14ac:dyDescent="0.25">
      <c r="A24" s="29">
        <f t="shared" si="0"/>
        <v>16</v>
      </c>
      <c r="B24" s="30"/>
      <c r="C24" s="31"/>
      <c r="D24" s="35"/>
      <c r="E24" s="32"/>
      <c r="F24" s="32"/>
      <c r="G24" s="33"/>
      <c r="H24" s="33"/>
      <c r="I24" s="34">
        <f t="shared" si="1"/>
        <v>16</v>
      </c>
      <c r="K24" s="17"/>
      <c r="L24" s="45" t="s">
        <v>6</v>
      </c>
      <c r="M24" s="46"/>
      <c r="N24" s="47" t="s">
        <v>15</v>
      </c>
      <c r="O24" s="47" t="s">
        <v>9</v>
      </c>
      <c r="P24" s="47" t="s">
        <v>10</v>
      </c>
      <c r="Q24" s="47" t="s">
        <v>11</v>
      </c>
      <c r="R24" s="58" t="s">
        <v>10</v>
      </c>
      <c r="S24" s="58" t="s">
        <v>11</v>
      </c>
      <c r="T24" s="22"/>
    </row>
    <row r="25" spans="1:20" ht="15" thickTop="1" x14ac:dyDescent="0.2">
      <c r="A25" s="29">
        <f t="shared" si="0"/>
        <v>17</v>
      </c>
      <c r="B25" s="30"/>
      <c r="C25" s="31"/>
      <c r="D25" s="35"/>
      <c r="E25" s="32"/>
      <c r="F25" s="32"/>
      <c r="G25" s="33"/>
      <c r="H25" s="33"/>
      <c r="I25" s="34">
        <f t="shared" si="1"/>
        <v>17</v>
      </c>
      <c r="K25" s="23"/>
      <c r="L25" s="24" t="s">
        <v>59</v>
      </c>
      <c r="M25" s="25">
        <v>30</v>
      </c>
      <c r="N25" s="26" t="s">
        <v>21</v>
      </c>
      <c r="O25" s="61" t="s">
        <v>22</v>
      </c>
      <c r="P25" s="27"/>
      <c r="Q25" s="27"/>
      <c r="R25" s="27">
        <v>1387</v>
      </c>
      <c r="S25" s="27"/>
      <c r="T25" s="28"/>
    </row>
    <row r="26" spans="1:20" ht="14.25" x14ac:dyDescent="0.2">
      <c r="A26" s="29">
        <f t="shared" si="0"/>
        <v>18</v>
      </c>
      <c r="B26" s="30"/>
      <c r="C26" s="31"/>
      <c r="D26" s="35"/>
      <c r="E26" s="32"/>
      <c r="F26" s="32"/>
      <c r="G26" s="33"/>
      <c r="H26" s="33"/>
      <c r="I26" s="34">
        <f t="shared" si="1"/>
        <v>18</v>
      </c>
      <c r="K26" s="23"/>
      <c r="L26" s="24"/>
      <c r="M26" s="25"/>
      <c r="N26" s="26"/>
      <c r="O26" s="25"/>
      <c r="P26" s="27"/>
      <c r="Q26" s="27"/>
      <c r="R26" s="27"/>
      <c r="S26" s="27"/>
      <c r="T26" s="28"/>
    </row>
    <row r="27" spans="1:20" ht="14.25" x14ac:dyDescent="0.2">
      <c r="K27" s="29"/>
      <c r="L27" s="48"/>
      <c r="M27" s="49"/>
      <c r="N27" s="50"/>
      <c r="O27" s="25"/>
      <c r="P27" s="51"/>
      <c r="Q27" s="51"/>
      <c r="R27" s="51"/>
      <c r="S27" s="51"/>
      <c r="T27" s="34"/>
    </row>
    <row r="28" spans="1:20" x14ac:dyDescent="0.2">
      <c r="R28" s="52"/>
      <c r="S28" s="52"/>
    </row>
    <row r="29" spans="1:20" x14ac:dyDescent="0.2">
      <c r="R29" s="52"/>
      <c r="S29" s="52"/>
    </row>
    <row r="30" spans="1:20" ht="15.75" x14ac:dyDescent="0.25">
      <c r="D30" s="123" t="b">
        <f>'Work Sheets'!B3</f>
        <v>1</v>
      </c>
      <c r="E30" s="123"/>
      <c r="F30" s="123"/>
      <c r="G30" s="123"/>
      <c r="H30" s="123"/>
      <c r="R30" s="52"/>
      <c r="S30" s="52"/>
    </row>
    <row r="31" spans="1:20" ht="15.75" x14ac:dyDescent="0.25">
      <c r="D31" s="124" t="s">
        <v>74</v>
      </c>
      <c r="E31" s="124"/>
      <c r="F31" s="124"/>
      <c r="G31" s="124"/>
      <c r="H31" s="124"/>
      <c r="L31" s="40"/>
      <c r="M31" s="40" t="s">
        <v>12</v>
      </c>
      <c r="N31" s="54" t="s">
        <v>16</v>
      </c>
      <c r="P31" s="40"/>
      <c r="Q31" s="40"/>
      <c r="R31" s="53" t="s">
        <v>13</v>
      </c>
      <c r="S31" s="41">
        <v>140</v>
      </c>
    </row>
    <row r="32" spans="1:20" ht="16.5" thickBot="1" x14ac:dyDescent="0.3">
      <c r="D32" s="125" t="s">
        <v>69</v>
      </c>
      <c r="E32" s="125"/>
      <c r="F32" s="125"/>
      <c r="G32" s="125"/>
      <c r="H32" s="125"/>
      <c r="K32" s="42"/>
      <c r="L32" s="42"/>
      <c r="M32" s="42"/>
      <c r="N32" s="42"/>
      <c r="O32" s="42"/>
      <c r="P32" s="42"/>
      <c r="Q32" s="42"/>
      <c r="R32" s="55"/>
      <c r="S32" s="55"/>
      <c r="T32" s="42"/>
    </row>
    <row r="33" spans="4:20" ht="7.5" customHeight="1" thickTop="1" thickBot="1" x14ac:dyDescent="0.25">
      <c r="D33" s="42"/>
      <c r="E33" s="42"/>
      <c r="F33" s="42"/>
      <c r="G33" s="42"/>
      <c r="H33" s="42"/>
      <c r="K33" s="11"/>
      <c r="L33" s="43"/>
      <c r="N33" s="44"/>
      <c r="O33" s="44" t="s">
        <v>4</v>
      </c>
      <c r="P33" s="44"/>
      <c r="Q33" s="44"/>
      <c r="R33" s="56" t="s">
        <v>14</v>
      </c>
      <c r="S33" s="57"/>
      <c r="T33" s="12"/>
    </row>
    <row r="34" spans="4:20" ht="16.5" thickTop="1" thickBot="1" x14ac:dyDescent="0.25">
      <c r="D34" s="126" t="s">
        <v>28</v>
      </c>
      <c r="E34" s="126"/>
      <c r="F34" s="126"/>
      <c r="G34" s="65" t="s">
        <v>29</v>
      </c>
      <c r="H34" s="66" t="s">
        <v>30</v>
      </c>
      <c r="K34" s="17"/>
      <c r="L34" s="45" t="s">
        <v>6</v>
      </c>
      <c r="M34" s="46"/>
      <c r="N34" s="47" t="s">
        <v>15</v>
      </c>
      <c r="O34" s="47" t="s">
        <v>9</v>
      </c>
      <c r="P34" s="47" t="s">
        <v>10</v>
      </c>
      <c r="Q34" s="47" t="s">
        <v>11</v>
      </c>
      <c r="R34" s="58" t="s">
        <v>10</v>
      </c>
      <c r="S34" s="58" t="s">
        <v>11</v>
      </c>
      <c r="T34" s="22"/>
    </row>
    <row r="35" spans="4:20" ht="15.75" thickTop="1" x14ac:dyDescent="0.2">
      <c r="D35" s="122" t="str">
        <f>'Work Sheets'!B11</f>
        <v>Cash</v>
      </c>
      <c r="E35" s="122"/>
      <c r="F35" s="122"/>
      <c r="G35" s="63">
        <f>'Work Sheets'!E11</f>
        <v>4900</v>
      </c>
      <c r="H35" s="64"/>
      <c r="K35" s="23"/>
      <c r="L35" s="24" t="s">
        <v>59</v>
      </c>
      <c r="M35" s="25">
        <v>30</v>
      </c>
      <c r="N35" s="26" t="s">
        <v>21</v>
      </c>
      <c r="O35" s="61" t="s">
        <v>22</v>
      </c>
      <c r="P35" s="27"/>
      <c r="Q35" s="27"/>
      <c r="R35" s="27">
        <v>75</v>
      </c>
      <c r="S35" s="27"/>
      <c r="T35" s="28"/>
    </row>
    <row r="36" spans="4:20" ht="15" x14ac:dyDescent="0.2">
      <c r="D36" s="121" t="str">
        <f>'Work Sheets'!B12</f>
        <v>Petty Cash</v>
      </c>
      <c r="E36" s="122"/>
      <c r="F36" s="122"/>
      <c r="G36" s="63">
        <f>'Work Sheets'!E12</f>
        <v>75</v>
      </c>
      <c r="H36" s="64"/>
      <c r="K36" s="23"/>
      <c r="L36" s="24"/>
      <c r="M36" s="25"/>
      <c r="N36" s="26"/>
      <c r="O36" s="25"/>
      <c r="P36" s="27"/>
      <c r="Q36" s="27"/>
      <c r="R36" s="27"/>
      <c r="S36" s="27"/>
      <c r="T36" s="28"/>
    </row>
    <row r="37" spans="4:20" ht="15" x14ac:dyDescent="0.2">
      <c r="D37" s="121" t="str">
        <f>'Work Sheets'!B13</f>
        <v>Accounts Receivable - B. Widell</v>
      </c>
      <c r="E37" s="122"/>
      <c r="F37" s="122"/>
      <c r="G37" s="63">
        <f>'Work Sheets'!E13</f>
        <v>1387</v>
      </c>
      <c r="H37" s="64"/>
      <c r="K37" s="29"/>
      <c r="L37" s="48"/>
      <c r="M37" s="49"/>
      <c r="N37" s="50"/>
      <c r="O37" s="25"/>
      <c r="P37" s="51"/>
      <c r="Q37" s="51"/>
      <c r="R37" s="59"/>
      <c r="S37" s="59"/>
      <c r="T37" s="34"/>
    </row>
    <row r="38" spans="4:20" ht="15" customHeight="1" x14ac:dyDescent="0.2">
      <c r="D38" s="122" t="str">
        <f>'Work Sheets'!B14</f>
        <v xml:space="preserve">Supplies  </v>
      </c>
      <c r="E38" s="122"/>
      <c r="F38" s="122"/>
      <c r="G38" s="63">
        <f>'Work Sheets'!E14</f>
        <v>75</v>
      </c>
      <c r="H38" s="64"/>
    </row>
    <row r="39" spans="4:20" ht="15" customHeight="1" x14ac:dyDescent="0.2">
      <c r="D39" s="122" t="str">
        <f>'Work Sheets'!B15</f>
        <v>Prepaid Insurance</v>
      </c>
      <c r="E39" s="122"/>
      <c r="F39" s="122"/>
      <c r="G39" s="63">
        <f>'Work Sheets'!E15</f>
        <v>250</v>
      </c>
      <c r="H39" s="64"/>
      <c r="L39" s="40"/>
      <c r="M39" s="40" t="s">
        <v>12</v>
      </c>
      <c r="N39" s="54" t="s">
        <v>17</v>
      </c>
      <c r="P39" s="40"/>
      <c r="Q39" s="40"/>
      <c r="R39" s="53" t="s">
        <v>13</v>
      </c>
      <c r="S39" s="41">
        <v>150</v>
      </c>
    </row>
    <row r="40" spans="4:20" ht="15" customHeight="1" thickBot="1" x14ac:dyDescent="0.25">
      <c r="D40" s="121" t="str">
        <f>'Work Sheets'!B16</f>
        <v>Accounts Payable - Southside Supplies</v>
      </c>
      <c r="E40" s="122"/>
      <c r="F40" s="122"/>
      <c r="G40" s="63"/>
      <c r="H40" s="64">
        <f>'Work Sheets'!F16</f>
        <v>267</v>
      </c>
      <c r="K40" s="42"/>
      <c r="L40" s="42"/>
      <c r="M40" s="42"/>
      <c r="N40" s="42"/>
      <c r="O40" s="42"/>
      <c r="P40" s="42"/>
      <c r="Q40" s="42"/>
      <c r="R40" s="55"/>
      <c r="S40" s="55"/>
      <c r="T40" s="42"/>
    </row>
    <row r="41" spans="4:20" ht="15" customHeight="1" thickTop="1" thickBot="1" x14ac:dyDescent="0.25">
      <c r="D41" s="121" t="str">
        <f>'Work Sheets'!B17</f>
        <v>Connor Whitney - Capital</v>
      </c>
      <c r="E41" s="122"/>
      <c r="F41" s="122"/>
      <c r="G41" s="103"/>
      <c r="H41" s="104">
        <v>6420</v>
      </c>
      <c r="K41" s="11"/>
      <c r="L41" s="43"/>
      <c r="N41" s="44"/>
      <c r="O41" s="44" t="s">
        <v>4</v>
      </c>
      <c r="P41" s="44"/>
      <c r="Q41" s="44"/>
      <c r="R41" s="56" t="s">
        <v>14</v>
      </c>
      <c r="S41" s="57"/>
      <c r="T41" s="12"/>
    </row>
    <row r="42" spans="4:20" ht="15" customHeight="1" thickBot="1" x14ac:dyDescent="0.25">
      <c r="D42" s="121" t="s">
        <v>70</v>
      </c>
      <c r="E42" s="122"/>
      <c r="F42" s="122"/>
      <c r="G42" s="107">
        <f>SUM(G35:G41)</f>
        <v>6687</v>
      </c>
      <c r="H42" s="108">
        <f>SUM(H40:H41)</f>
        <v>6687</v>
      </c>
      <c r="K42" s="17"/>
      <c r="L42" s="45" t="s">
        <v>6</v>
      </c>
      <c r="M42" s="46"/>
      <c r="N42" s="47" t="s">
        <v>15</v>
      </c>
      <c r="O42" s="47" t="s">
        <v>9</v>
      </c>
      <c r="P42" s="47" t="s">
        <v>10</v>
      </c>
      <c r="Q42" s="47" t="s">
        <v>11</v>
      </c>
      <c r="R42" s="58" t="s">
        <v>10</v>
      </c>
      <c r="S42" s="58" t="s">
        <v>11</v>
      </c>
      <c r="T42" s="22"/>
    </row>
    <row r="43" spans="4:20" ht="15" customHeight="1" thickTop="1" x14ac:dyDescent="0.2">
      <c r="D43" s="122"/>
      <c r="E43" s="122"/>
      <c r="F43" s="122"/>
      <c r="G43" s="105"/>
      <c r="H43" s="106"/>
      <c r="K43" s="23"/>
      <c r="L43" s="24" t="s">
        <v>59</v>
      </c>
      <c r="M43" s="25">
        <v>30</v>
      </c>
      <c r="N43" s="26"/>
      <c r="O43" s="61" t="s">
        <v>22</v>
      </c>
      <c r="P43" s="27">
        <v>250</v>
      </c>
      <c r="Q43" s="27"/>
      <c r="R43" s="27">
        <f>P43</f>
        <v>250</v>
      </c>
      <c r="S43" s="27"/>
      <c r="T43" s="28"/>
    </row>
    <row r="44" spans="4:20" ht="15" customHeight="1" x14ac:dyDescent="0.2">
      <c r="D44" s="122"/>
      <c r="E44" s="122"/>
      <c r="F44" s="122"/>
      <c r="G44" s="65"/>
      <c r="H44" s="66"/>
      <c r="K44" s="23"/>
      <c r="L44" s="24"/>
      <c r="M44" s="25"/>
      <c r="N44" s="26"/>
      <c r="O44" s="25"/>
      <c r="P44" s="27"/>
      <c r="Q44" s="27"/>
      <c r="R44" s="27"/>
      <c r="S44" s="27"/>
      <c r="T44" s="28"/>
    </row>
    <row r="45" spans="4:20" ht="14.25" x14ac:dyDescent="0.2">
      <c r="K45" s="29"/>
      <c r="L45" s="48"/>
      <c r="M45" s="49"/>
      <c r="N45" s="50"/>
      <c r="O45" s="25"/>
      <c r="P45" s="51"/>
      <c r="Q45" s="51"/>
      <c r="R45" s="51"/>
      <c r="S45" s="51"/>
      <c r="T45" s="34"/>
    </row>
    <row r="47" spans="4:20" ht="14.25" x14ac:dyDescent="0.2">
      <c r="L47" s="40"/>
      <c r="M47" s="40" t="s">
        <v>12</v>
      </c>
      <c r="N47" s="54" t="s">
        <v>44</v>
      </c>
      <c r="P47" s="40"/>
      <c r="Q47" s="40"/>
      <c r="R47" s="53" t="s">
        <v>13</v>
      </c>
      <c r="S47" s="54">
        <v>210</v>
      </c>
    </row>
    <row r="48" spans="4:20" ht="12" thickBot="1" x14ac:dyDescent="0.25">
      <c r="K48" s="42"/>
      <c r="L48" s="42"/>
      <c r="M48" s="42"/>
      <c r="N48" s="42"/>
      <c r="O48" s="42"/>
      <c r="P48" s="42"/>
      <c r="Q48" s="42"/>
      <c r="R48" s="55"/>
      <c r="S48" s="55"/>
      <c r="T48" s="42"/>
    </row>
    <row r="49" spans="11:20" ht="12.75" thickTop="1" x14ac:dyDescent="0.2">
      <c r="K49" s="11"/>
      <c r="L49" s="43"/>
      <c r="N49" s="44"/>
      <c r="O49" s="44" t="s">
        <v>4</v>
      </c>
      <c r="P49" s="44"/>
      <c r="Q49" s="44"/>
      <c r="R49" s="56" t="s">
        <v>14</v>
      </c>
      <c r="S49" s="57"/>
      <c r="T49" s="12"/>
    </row>
    <row r="50" spans="11:20" ht="12.75" thickBot="1" x14ac:dyDescent="0.25">
      <c r="K50" s="17"/>
      <c r="L50" s="45" t="s">
        <v>6</v>
      </c>
      <c r="M50" s="46"/>
      <c r="N50" s="47" t="s">
        <v>15</v>
      </c>
      <c r="O50" s="47" t="s">
        <v>9</v>
      </c>
      <c r="P50" s="47" t="s">
        <v>10</v>
      </c>
      <c r="Q50" s="47" t="s">
        <v>11</v>
      </c>
      <c r="R50" s="58" t="s">
        <v>10</v>
      </c>
      <c r="S50" s="58" t="s">
        <v>11</v>
      </c>
      <c r="T50" s="22"/>
    </row>
    <row r="51" spans="11:20" ht="15" thickTop="1" x14ac:dyDescent="0.2">
      <c r="K51" s="23"/>
      <c r="L51" s="24" t="s">
        <v>59</v>
      </c>
      <c r="M51" s="25">
        <v>30</v>
      </c>
      <c r="N51" s="26" t="s">
        <v>21</v>
      </c>
      <c r="O51" s="61" t="s">
        <v>22</v>
      </c>
      <c r="P51" s="27"/>
      <c r="Q51" s="27"/>
      <c r="R51" s="27"/>
      <c r="S51" s="27">
        <v>267</v>
      </c>
      <c r="T51" s="28"/>
    </row>
    <row r="52" spans="11:20" ht="14.25" x14ac:dyDescent="0.2">
      <c r="K52" s="23"/>
      <c r="L52" s="24"/>
      <c r="M52" s="25"/>
      <c r="N52" s="26"/>
      <c r="O52" s="25"/>
      <c r="P52" s="27"/>
      <c r="Q52" s="27"/>
      <c r="R52" s="27"/>
      <c r="S52" s="27"/>
      <c r="T52" s="28"/>
    </row>
    <row r="53" spans="11:20" ht="14.25" x14ac:dyDescent="0.2">
      <c r="K53" s="29"/>
      <c r="L53" s="48"/>
      <c r="M53" s="49"/>
      <c r="N53" s="50"/>
      <c r="O53" s="25"/>
      <c r="P53" s="51"/>
      <c r="Q53" s="51"/>
      <c r="R53" s="51"/>
      <c r="S53" s="51"/>
      <c r="T53" s="34"/>
    </row>
    <row r="54" spans="11:20" x14ac:dyDescent="0.2">
      <c r="R54" s="52"/>
      <c r="S54" s="52"/>
    </row>
    <row r="55" spans="11:20" ht="14.25" x14ac:dyDescent="0.2">
      <c r="L55" s="40"/>
      <c r="M55" s="40" t="s">
        <v>12</v>
      </c>
      <c r="N55" s="54" t="s">
        <v>57</v>
      </c>
      <c r="P55" s="40"/>
      <c r="Q55" s="40"/>
      <c r="R55" s="53" t="s">
        <v>13</v>
      </c>
      <c r="S55" s="54">
        <v>310</v>
      </c>
    </row>
    <row r="56" spans="11:20" ht="12" thickBot="1" x14ac:dyDescent="0.25">
      <c r="K56" s="42"/>
      <c r="L56" s="42"/>
      <c r="M56" s="42"/>
      <c r="N56" s="42"/>
      <c r="O56" s="42"/>
      <c r="P56" s="42"/>
      <c r="Q56" s="42"/>
      <c r="R56" s="55"/>
      <c r="S56" s="55"/>
      <c r="T56" s="42"/>
    </row>
    <row r="57" spans="11:20" ht="12.75" thickTop="1" x14ac:dyDescent="0.2">
      <c r="K57" s="11"/>
      <c r="L57" s="43"/>
      <c r="N57" s="44"/>
      <c r="O57" s="44" t="s">
        <v>4</v>
      </c>
      <c r="P57" s="44"/>
      <c r="Q57" s="44"/>
      <c r="R57" s="56" t="s">
        <v>14</v>
      </c>
      <c r="S57" s="57"/>
      <c r="T57" s="12"/>
    </row>
    <row r="58" spans="11:20" ht="12.75" thickBot="1" x14ac:dyDescent="0.25">
      <c r="K58" s="17"/>
      <c r="L58" s="45" t="s">
        <v>6</v>
      </c>
      <c r="M58" s="46"/>
      <c r="N58" s="47" t="s">
        <v>15</v>
      </c>
      <c r="O58" s="47" t="s">
        <v>9</v>
      </c>
      <c r="P58" s="47" t="s">
        <v>10</v>
      </c>
      <c r="Q58" s="47" t="s">
        <v>11</v>
      </c>
      <c r="R58" s="58" t="s">
        <v>10</v>
      </c>
      <c r="S58" s="58" t="s">
        <v>11</v>
      </c>
      <c r="T58" s="22"/>
    </row>
    <row r="59" spans="11:20" ht="15" thickTop="1" x14ac:dyDescent="0.2">
      <c r="K59" s="23"/>
      <c r="L59" s="24" t="s">
        <v>59</v>
      </c>
      <c r="M59" s="25">
        <v>30</v>
      </c>
      <c r="N59" s="26" t="s">
        <v>21</v>
      </c>
      <c r="O59" s="61" t="s">
        <v>22</v>
      </c>
      <c r="P59" s="27"/>
      <c r="Q59" s="27"/>
      <c r="R59" s="27"/>
      <c r="S59" s="27">
        <v>7443</v>
      </c>
      <c r="T59" s="28"/>
    </row>
    <row r="60" spans="11:20" ht="14.25" x14ac:dyDescent="0.2">
      <c r="K60" s="23"/>
      <c r="L60" s="24"/>
      <c r="M60" s="25">
        <v>30</v>
      </c>
      <c r="N60" s="26"/>
      <c r="O60" s="25" t="s">
        <v>67</v>
      </c>
      <c r="P60" s="27"/>
      <c r="Q60" s="27">
        <v>677</v>
      </c>
      <c r="R60" s="27"/>
      <c r="S60" s="27">
        <f>S59+Q60</f>
        <v>8120</v>
      </c>
      <c r="T60" s="28"/>
    </row>
    <row r="61" spans="11:20" ht="14.25" x14ac:dyDescent="0.2">
      <c r="K61" s="29"/>
      <c r="L61" s="48"/>
      <c r="M61" s="49">
        <v>30</v>
      </c>
      <c r="N61" s="50"/>
      <c r="O61" s="25" t="s">
        <v>67</v>
      </c>
      <c r="P61" s="51">
        <v>1700</v>
      </c>
      <c r="Q61" s="51"/>
      <c r="R61" s="51"/>
      <c r="S61" s="51">
        <f>S60-P61</f>
        <v>6420</v>
      </c>
      <c r="T61" s="34"/>
    </row>
    <row r="63" spans="11:20" ht="14.25" x14ac:dyDescent="0.2">
      <c r="L63" s="40"/>
      <c r="M63" s="40" t="s">
        <v>12</v>
      </c>
      <c r="N63" s="54" t="s">
        <v>58</v>
      </c>
      <c r="P63" s="40"/>
      <c r="Q63" s="40"/>
      <c r="R63" s="53" t="s">
        <v>13</v>
      </c>
      <c r="S63" s="41">
        <v>320</v>
      </c>
    </row>
    <row r="64" spans="11:20" ht="12" thickBot="1" x14ac:dyDescent="0.25">
      <c r="K64" s="42"/>
      <c r="L64" s="42"/>
      <c r="M64" s="42"/>
      <c r="N64" s="42"/>
      <c r="O64" s="42"/>
      <c r="P64" s="42"/>
      <c r="Q64" s="42"/>
      <c r="R64" s="55"/>
      <c r="S64" s="55"/>
      <c r="T64" s="42"/>
    </row>
    <row r="65" spans="11:20" ht="12.75" thickTop="1" x14ac:dyDescent="0.2">
      <c r="K65" s="11"/>
      <c r="L65" s="43"/>
      <c r="N65" s="44"/>
      <c r="O65" s="44" t="s">
        <v>4</v>
      </c>
      <c r="P65" s="44"/>
      <c r="Q65" s="44"/>
      <c r="R65" s="56" t="s">
        <v>14</v>
      </c>
      <c r="S65" s="57"/>
      <c r="T65" s="12"/>
    </row>
    <row r="66" spans="11:20" ht="12.75" thickBot="1" x14ac:dyDescent="0.25">
      <c r="K66" s="17"/>
      <c r="L66" s="45" t="s">
        <v>6</v>
      </c>
      <c r="M66" s="46"/>
      <c r="N66" s="47" t="s">
        <v>15</v>
      </c>
      <c r="O66" s="47" t="s">
        <v>9</v>
      </c>
      <c r="P66" s="47" t="s">
        <v>10</v>
      </c>
      <c r="Q66" s="47" t="s">
        <v>11</v>
      </c>
      <c r="R66" s="58" t="s">
        <v>10</v>
      </c>
      <c r="S66" s="58" t="s">
        <v>11</v>
      </c>
      <c r="T66" s="22"/>
    </row>
    <row r="67" spans="11:20" ht="15" thickTop="1" x14ac:dyDescent="0.2">
      <c r="K67" s="23"/>
      <c r="L67" s="24" t="s">
        <v>59</v>
      </c>
      <c r="M67" s="25">
        <v>30</v>
      </c>
      <c r="N67" s="26" t="s">
        <v>21</v>
      </c>
      <c r="O67" s="61" t="s">
        <v>22</v>
      </c>
      <c r="P67" s="27"/>
      <c r="Q67" s="27"/>
      <c r="R67" s="27">
        <v>1700</v>
      </c>
      <c r="S67" s="27"/>
      <c r="T67" s="28"/>
    </row>
    <row r="68" spans="11:20" ht="14.25" x14ac:dyDescent="0.2">
      <c r="K68" s="23"/>
      <c r="L68" s="24"/>
      <c r="M68" s="25">
        <v>30</v>
      </c>
      <c r="N68" s="26"/>
      <c r="O68" s="25" t="s">
        <v>67</v>
      </c>
      <c r="P68" s="27"/>
      <c r="Q68" s="27">
        <v>1700</v>
      </c>
      <c r="R68" s="27">
        <v>0</v>
      </c>
      <c r="S68" s="27">
        <v>0</v>
      </c>
      <c r="T68" s="28"/>
    </row>
    <row r="69" spans="11:20" ht="14.25" x14ac:dyDescent="0.2">
      <c r="K69" s="29"/>
      <c r="L69" s="48"/>
      <c r="M69" s="49"/>
      <c r="N69" s="50"/>
      <c r="O69" s="25"/>
      <c r="P69" s="51"/>
      <c r="Q69" s="51"/>
      <c r="R69" s="59"/>
      <c r="S69" s="59"/>
      <c r="T69" s="34"/>
    </row>
    <row r="71" spans="11:20" ht="14.25" x14ac:dyDescent="0.2">
      <c r="L71" s="40"/>
      <c r="M71" s="40" t="s">
        <v>12</v>
      </c>
      <c r="N71" s="54" t="s">
        <v>24</v>
      </c>
      <c r="P71" s="40"/>
      <c r="Q71" s="40"/>
      <c r="R71" s="53" t="s">
        <v>13</v>
      </c>
      <c r="S71" s="41">
        <v>330</v>
      </c>
    </row>
    <row r="72" spans="11:20" ht="12" thickBot="1" x14ac:dyDescent="0.25">
      <c r="K72" s="42"/>
      <c r="L72" s="42"/>
      <c r="M72" s="42"/>
      <c r="N72" s="42"/>
      <c r="O72" s="42"/>
      <c r="P72" s="42"/>
      <c r="Q72" s="42"/>
      <c r="R72" s="55"/>
      <c r="S72" s="55"/>
      <c r="T72" s="42"/>
    </row>
    <row r="73" spans="11:20" ht="12.75" thickTop="1" x14ac:dyDescent="0.2">
      <c r="K73" s="11"/>
      <c r="L73" s="43"/>
      <c r="N73" s="44"/>
      <c r="O73" s="44" t="s">
        <v>4</v>
      </c>
      <c r="P73" s="44"/>
      <c r="Q73" s="44"/>
      <c r="R73" s="56" t="s">
        <v>14</v>
      </c>
      <c r="S73" s="57"/>
      <c r="T73" s="12"/>
    </row>
    <row r="74" spans="11:20" ht="12.75" thickBot="1" x14ac:dyDescent="0.25">
      <c r="K74" s="17"/>
      <c r="L74" s="45" t="s">
        <v>6</v>
      </c>
      <c r="M74" s="46"/>
      <c r="N74" s="47" t="s">
        <v>15</v>
      </c>
      <c r="O74" s="47" t="s">
        <v>9</v>
      </c>
      <c r="P74" s="47" t="s">
        <v>10</v>
      </c>
      <c r="Q74" s="47" t="s">
        <v>11</v>
      </c>
      <c r="R74" s="58" t="s">
        <v>10</v>
      </c>
      <c r="S74" s="58" t="s">
        <v>11</v>
      </c>
      <c r="T74" s="22"/>
    </row>
    <row r="75" spans="11:20" ht="15" thickTop="1" x14ac:dyDescent="0.2">
      <c r="K75" s="23"/>
      <c r="L75" s="24" t="s">
        <v>59</v>
      </c>
      <c r="M75" s="25">
        <v>30</v>
      </c>
      <c r="N75" s="26"/>
      <c r="O75" s="25" t="s">
        <v>67</v>
      </c>
      <c r="P75" s="27"/>
      <c r="Q75" s="27">
        <v>2160</v>
      </c>
      <c r="R75" s="27"/>
      <c r="S75" s="27">
        <v>2160</v>
      </c>
      <c r="T75" s="28"/>
    </row>
    <row r="76" spans="11:20" ht="14.25" x14ac:dyDescent="0.2">
      <c r="K76" s="23"/>
      <c r="L76" s="24"/>
      <c r="M76" s="25">
        <v>30</v>
      </c>
      <c r="N76" s="26"/>
      <c r="O76" s="25" t="s">
        <v>67</v>
      </c>
      <c r="P76" s="27">
        <v>1483</v>
      </c>
      <c r="Q76" s="27"/>
      <c r="R76" s="27"/>
      <c r="S76" s="27">
        <f>S75-P76</f>
        <v>677</v>
      </c>
      <c r="T76" s="28"/>
    </row>
    <row r="77" spans="11:20" ht="14.25" x14ac:dyDescent="0.2">
      <c r="K77" s="29"/>
      <c r="L77" s="48"/>
      <c r="M77" s="49">
        <v>30</v>
      </c>
      <c r="N77" s="50"/>
      <c r="O77" s="25" t="s">
        <v>67</v>
      </c>
      <c r="P77" s="51">
        <v>677</v>
      </c>
      <c r="Q77" s="51"/>
      <c r="R77" s="27"/>
      <c r="S77" s="27">
        <v>0</v>
      </c>
      <c r="T77" s="34"/>
    </row>
    <row r="79" spans="11:20" ht="14.25" x14ac:dyDescent="0.2">
      <c r="L79" s="40"/>
      <c r="M79" s="40" t="s">
        <v>12</v>
      </c>
      <c r="N79" s="54" t="s">
        <v>23</v>
      </c>
      <c r="P79" s="40"/>
      <c r="Q79" s="40"/>
      <c r="R79" s="53" t="s">
        <v>13</v>
      </c>
      <c r="S79" s="41">
        <v>410</v>
      </c>
    </row>
    <row r="80" spans="11:20" ht="12" thickBot="1" x14ac:dyDescent="0.25">
      <c r="K80" s="42"/>
      <c r="L80" s="42"/>
      <c r="M80" s="42"/>
      <c r="N80" s="42"/>
      <c r="O80" s="42"/>
      <c r="P80" s="42"/>
      <c r="Q80" s="42"/>
      <c r="R80" s="55"/>
      <c r="S80" s="55"/>
      <c r="T80" s="42"/>
    </row>
    <row r="81" spans="11:20" ht="12.75" thickTop="1" x14ac:dyDescent="0.2">
      <c r="K81" s="11"/>
      <c r="L81" s="43"/>
      <c r="N81" s="44"/>
      <c r="O81" s="44" t="s">
        <v>4</v>
      </c>
      <c r="P81" s="44"/>
      <c r="Q81" s="44"/>
      <c r="R81" s="56" t="s">
        <v>14</v>
      </c>
      <c r="S81" s="57"/>
      <c r="T81" s="12"/>
    </row>
    <row r="82" spans="11:20" ht="12.75" thickBot="1" x14ac:dyDescent="0.25">
      <c r="K82" s="17"/>
      <c r="L82" s="45" t="s">
        <v>6</v>
      </c>
      <c r="M82" s="46"/>
      <c r="N82" s="47" t="s">
        <v>15</v>
      </c>
      <c r="O82" s="47" t="s">
        <v>9</v>
      </c>
      <c r="P82" s="47" t="s">
        <v>10</v>
      </c>
      <c r="Q82" s="47" t="s">
        <v>11</v>
      </c>
      <c r="R82" s="58" t="s">
        <v>10</v>
      </c>
      <c r="S82" s="58" t="s">
        <v>11</v>
      </c>
      <c r="T82" s="22"/>
    </row>
    <row r="83" spans="11:20" ht="15" thickTop="1" x14ac:dyDescent="0.2">
      <c r="K83" s="23"/>
      <c r="L83" s="24" t="s">
        <v>59</v>
      </c>
      <c r="M83" s="25">
        <v>30</v>
      </c>
      <c r="N83" s="26"/>
      <c r="O83" s="61" t="s">
        <v>22</v>
      </c>
      <c r="P83" s="27"/>
      <c r="Q83" s="27"/>
      <c r="R83" s="27"/>
      <c r="S83" s="27">
        <v>2160</v>
      </c>
      <c r="T83" s="28"/>
    </row>
    <row r="84" spans="11:20" ht="14.25" x14ac:dyDescent="0.2">
      <c r="K84" s="23"/>
      <c r="L84" s="24"/>
      <c r="M84" s="25"/>
      <c r="N84" s="26"/>
      <c r="O84" s="25" t="s">
        <v>67</v>
      </c>
      <c r="P84" s="27">
        <f>S83</f>
        <v>2160</v>
      </c>
      <c r="R84" s="27">
        <v>0</v>
      </c>
      <c r="S84" s="27">
        <v>0</v>
      </c>
      <c r="T84" s="28"/>
    </row>
    <row r="85" spans="11:20" ht="14.25" x14ac:dyDescent="0.2">
      <c r="K85" s="29"/>
      <c r="L85" s="48"/>
      <c r="M85" s="49"/>
      <c r="N85" s="50"/>
      <c r="O85" s="25"/>
      <c r="P85" s="51"/>
      <c r="Q85" s="51"/>
      <c r="R85" s="59"/>
      <c r="S85" s="59"/>
      <c r="T85" s="34"/>
    </row>
    <row r="87" spans="11:20" ht="14.25" x14ac:dyDescent="0.2">
      <c r="L87" s="40"/>
      <c r="M87" s="40" t="s">
        <v>12</v>
      </c>
      <c r="N87" s="54" t="s">
        <v>25</v>
      </c>
      <c r="P87" s="40"/>
      <c r="Q87" s="40"/>
      <c r="R87" s="53" t="s">
        <v>13</v>
      </c>
      <c r="S87" s="41">
        <v>510</v>
      </c>
    </row>
    <row r="88" spans="11:20" ht="12" thickBot="1" x14ac:dyDescent="0.25">
      <c r="K88" s="42"/>
      <c r="L88" s="42"/>
      <c r="M88" s="42"/>
      <c r="N88" s="42"/>
      <c r="O88" s="42"/>
      <c r="P88" s="42"/>
      <c r="Q88" s="42"/>
      <c r="R88" s="55"/>
      <c r="S88" s="55"/>
      <c r="T88" s="42"/>
    </row>
    <row r="89" spans="11:20" ht="12.75" thickTop="1" x14ac:dyDescent="0.2">
      <c r="K89" s="11"/>
      <c r="L89" s="43"/>
      <c r="N89" s="44"/>
      <c r="O89" s="44" t="s">
        <v>4</v>
      </c>
      <c r="P89" s="44"/>
      <c r="Q89" s="44"/>
      <c r="R89" s="56" t="s">
        <v>14</v>
      </c>
      <c r="S89" s="57"/>
      <c r="T89" s="12"/>
    </row>
    <row r="90" spans="11:20" ht="12.75" thickBot="1" x14ac:dyDescent="0.25">
      <c r="K90" s="17"/>
      <c r="L90" s="45" t="s">
        <v>6</v>
      </c>
      <c r="M90" s="46"/>
      <c r="N90" s="47" t="s">
        <v>15</v>
      </c>
      <c r="O90" s="47" t="s">
        <v>9</v>
      </c>
      <c r="P90" s="47" t="s">
        <v>10</v>
      </c>
      <c r="Q90" s="47" t="s">
        <v>11</v>
      </c>
      <c r="R90" s="58" t="s">
        <v>10</v>
      </c>
      <c r="S90" s="58" t="s">
        <v>11</v>
      </c>
      <c r="T90" s="22"/>
    </row>
    <row r="91" spans="11:20" ht="15" thickTop="1" x14ac:dyDescent="0.2">
      <c r="K91" s="23"/>
      <c r="L91" s="24" t="s">
        <v>59</v>
      </c>
      <c r="M91" s="25">
        <v>30</v>
      </c>
      <c r="N91" s="26"/>
      <c r="O91" s="61" t="s">
        <v>22</v>
      </c>
      <c r="P91" s="27"/>
      <c r="Q91" s="27"/>
      <c r="R91" s="27">
        <v>460</v>
      </c>
      <c r="S91" s="27"/>
      <c r="T91" s="28"/>
    </row>
    <row r="92" spans="11:20" ht="14.25" x14ac:dyDescent="0.2">
      <c r="K92" s="23"/>
      <c r="L92" s="24"/>
      <c r="M92" s="25">
        <v>30</v>
      </c>
      <c r="N92" s="26"/>
      <c r="O92" s="25" t="s">
        <v>67</v>
      </c>
      <c r="P92" s="27"/>
      <c r="Q92" s="27">
        <v>460</v>
      </c>
      <c r="R92" s="27">
        <v>0</v>
      </c>
      <c r="S92" s="27">
        <v>0</v>
      </c>
      <c r="T92" s="28"/>
    </row>
    <row r="93" spans="11:20" ht="14.25" x14ac:dyDescent="0.2">
      <c r="K93" s="29"/>
      <c r="L93" s="48"/>
      <c r="M93" s="49"/>
      <c r="N93" s="50"/>
      <c r="O93" s="25"/>
      <c r="P93" s="51"/>
      <c r="Q93" s="51"/>
      <c r="R93" s="59"/>
      <c r="S93" s="59"/>
      <c r="T93" s="34"/>
    </row>
    <row r="95" spans="11:20" ht="14.25" x14ac:dyDescent="0.2">
      <c r="L95" s="40"/>
      <c r="M95" s="40" t="s">
        <v>12</v>
      </c>
      <c r="N95" s="54" t="s">
        <v>47</v>
      </c>
      <c r="P95" s="40"/>
      <c r="Q95" s="40"/>
      <c r="R95" s="53" t="s">
        <v>13</v>
      </c>
      <c r="S95" s="41">
        <v>520</v>
      </c>
    </row>
    <row r="96" spans="11:20" ht="12" thickBot="1" x14ac:dyDescent="0.25">
      <c r="K96" s="42"/>
      <c r="L96" s="42"/>
      <c r="M96" s="42"/>
      <c r="N96" s="42"/>
      <c r="O96" s="42"/>
      <c r="P96" s="42"/>
      <c r="Q96" s="42"/>
      <c r="R96" s="55"/>
      <c r="S96" s="55"/>
      <c r="T96" s="42"/>
    </row>
    <row r="97" spans="11:20" ht="12.75" thickTop="1" x14ac:dyDescent="0.2">
      <c r="K97" s="11"/>
      <c r="L97" s="43"/>
      <c r="N97" s="44"/>
      <c r="O97" s="44" t="s">
        <v>4</v>
      </c>
      <c r="P97" s="44"/>
      <c r="Q97" s="44"/>
      <c r="R97" s="56" t="s">
        <v>14</v>
      </c>
      <c r="S97" s="57"/>
      <c r="T97" s="12"/>
    </row>
    <row r="98" spans="11:20" ht="12.75" thickBot="1" x14ac:dyDescent="0.25">
      <c r="K98" s="17"/>
      <c r="L98" s="45" t="s">
        <v>6</v>
      </c>
      <c r="M98" s="46"/>
      <c r="N98" s="47" t="s">
        <v>15</v>
      </c>
      <c r="O98" s="47" t="s">
        <v>9</v>
      </c>
      <c r="P98" s="47" t="s">
        <v>10</v>
      </c>
      <c r="Q98" s="47" t="s">
        <v>11</v>
      </c>
      <c r="R98" s="58" t="s">
        <v>10</v>
      </c>
      <c r="S98" s="58" t="s">
        <v>11</v>
      </c>
      <c r="T98" s="22"/>
    </row>
    <row r="99" spans="11:20" ht="15" thickTop="1" x14ac:dyDescent="0.2">
      <c r="K99" s="23"/>
      <c r="L99" s="24" t="s">
        <v>59</v>
      </c>
      <c r="M99" s="25">
        <v>30</v>
      </c>
      <c r="N99" s="26"/>
      <c r="O99" s="61" t="s">
        <v>22</v>
      </c>
      <c r="P99" s="27"/>
      <c r="Q99" s="27"/>
      <c r="R99" s="27">
        <v>6</v>
      </c>
      <c r="S99" s="27"/>
      <c r="T99" s="28"/>
    </row>
    <row r="100" spans="11:20" ht="14.25" x14ac:dyDescent="0.2">
      <c r="K100" s="23"/>
      <c r="L100" s="24"/>
      <c r="M100" s="25">
        <v>30</v>
      </c>
      <c r="N100" s="26"/>
      <c r="O100" s="25" t="s">
        <v>67</v>
      </c>
      <c r="P100" s="27"/>
      <c r="Q100" s="27">
        <v>6</v>
      </c>
      <c r="R100" s="27">
        <v>0</v>
      </c>
      <c r="S100" s="27">
        <v>0</v>
      </c>
      <c r="T100" s="28"/>
    </row>
    <row r="101" spans="11:20" ht="14.25" x14ac:dyDescent="0.2">
      <c r="K101" s="29"/>
      <c r="L101" s="48"/>
      <c r="M101" s="49"/>
      <c r="N101" s="50"/>
      <c r="O101" s="25"/>
      <c r="P101" s="51"/>
      <c r="Q101" s="51"/>
      <c r="R101" s="59"/>
      <c r="S101" s="59"/>
      <c r="T101" s="34"/>
    </row>
    <row r="103" spans="11:20" ht="14.25" x14ac:dyDescent="0.2">
      <c r="L103" s="40"/>
      <c r="M103" s="40" t="s">
        <v>12</v>
      </c>
      <c r="N103" s="54" t="s">
        <v>19</v>
      </c>
      <c r="P103" s="40"/>
      <c r="Q103" s="40"/>
      <c r="R103" s="53" t="s">
        <v>13</v>
      </c>
      <c r="S103" s="41">
        <v>530</v>
      </c>
    </row>
    <row r="104" spans="11:20" ht="12" thickBot="1" x14ac:dyDescent="0.25">
      <c r="K104" s="42"/>
      <c r="L104" s="42"/>
      <c r="M104" s="42"/>
      <c r="N104" s="42"/>
      <c r="O104" s="42"/>
      <c r="P104" s="42"/>
      <c r="Q104" s="42"/>
      <c r="R104" s="55"/>
      <c r="S104" s="55"/>
      <c r="T104" s="42"/>
    </row>
    <row r="105" spans="11:20" ht="12.75" thickTop="1" x14ac:dyDescent="0.2">
      <c r="K105" s="11"/>
      <c r="L105" s="43"/>
      <c r="N105" s="44"/>
      <c r="O105" s="44" t="s">
        <v>4</v>
      </c>
      <c r="P105" s="44"/>
      <c r="Q105" s="44"/>
      <c r="R105" s="56" t="s">
        <v>14</v>
      </c>
      <c r="S105" s="57"/>
      <c r="T105" s="12"/>
    </row>
    <row r="106" spans="11:20" ht="12.75" thickBot="1" x14ac:dyDescent="0.25">
      <c r="K106" s="17"/>
      <c r="L106" s="45" t="s">
        <v>6</v>
      </c>
      <c r="M106" s="46"/>
      <c r="N106" s="47" t="s">
        <v>15</v>
      </c>
      <c r="O106" s="47" t="s">
        <v>9</v>
      </c>
      <c r="P106" s="47" t="s">
        <v>10</v>
      </c>
      <c r="Q106" s="47" t="s">
        <v>11</v>
      </c>
      <c r="R106" s="58" t="s">
        <v>10</v>
      </c>
      <c r="S106" s="58" t="s">
        <v>11</v>
      </c>
      <c r="T106" s="22"/>
    </row>
    <row r="107" spans="11:20" ht="15" thickTop="1" x14ac:dyDescent="0.2">
      <c r="K107" s="23"/>
      <c r="L107" s="24" t="s">
        <v>59</v>
      </c>
      <c r="M107" s="25">
        <v>30</v>
      </c>
      <c r="N107" s="26"/>
      <c r="O107" s="61" t="s">
        <v>22</v>
      </c>
      <c r="P107" s="27"/>
      <c r="Q107" s="27"/>
      <c r="R107" s="27">
        <v>125</v>
      </c>
      <c r="S107" s="27"/>
      <c r="T107" s="28"/>
    </row>
    <row r="108" spans="11:20" ht="14.25" x14ac:dyDescent="0.2">
      <c r="K108" s="23"/>
      <c r="L108" s="24"/>
      <c r="M108" s="25">
        <v>30</v>
      </c>
      <c r="N108" s="26"/>
      <c r="O108" s="25" t="s">
        <v>67</v>
      </c>
      <c r="P108" s="27"/>
      <c r="Q108" s="27">
        <v>125</v>
      </c>
      <c r="R108" s="27">
        <v>0</v>
      </c>
      <c r="S108" s="27">
        <v>0</v>
      </c>
      <c r="T108" s="28"/>
    </row>
    <row r="109" spans="11:20" ht="14.25" x14ac:dyDescent="0.2">
      <c r="K109" s="29"/>
      <c r="L109" s="48"/>
      <c r="M109" s="49"/>
      <c r="N109" s="50"/>
      <c r="O109" s="25"/>
      <c r="P109" s="51"/>
      <c r="Q109" s="51"/>
      <c r="R109" s="59"/>
      <c r="S109" s="59"/>
      <c r="T109" s="34"/>
    </row>
    <row r="111" spans="11:20" ht="14.25" x14ac:dyDescent="0.2">
      <c r="L111" s="40"/>
      <c r="M111" s="40" t="s">
        <v>12</v>
      </c>
      <c r="N111" s="54" t="s">
        <v>26</v>
      </c>
      <c r="P111" s="40"/>
      <c r="Q111" s="40"/>
      <c r="R111" s="53" t="s">
        <v>13</v>
      </c>
      <c r="S111" s="41">
        <v>540</v>
      </c>
    </row>
    <row r="112" spans="11:20" ht="12" thickBot="1" x14ac:dyDescent="0.25">
      <c r="K112" s="42"/>
      <c r="L112" s="42"/>
      <c r="M112" s="42"/>
      <c r="N112" s="42"/>
      <c r="O112" s="42"/>
      <c r="P112" s="42"/>
      <c r="Q112" s="42"/>
      <c r="R112" s="55"/>
      <c r="S112" s="55"/>
      <c r="T112" s="42"/>
    </row>
    <row r="113" spans="11:20" ht="12.75" thickTop="1" x14ac:dyDescent="0.2">
      <c r="K113" s="11"/>
      <c r="L113" s="43"/>
      <c r="N113" s="44"/>
      <c r="O113" s="44" t="s">
        <v>4</v>
      </c>
      <c r="P113" s="44"/>
      <c r="Q113" s="44"/>
      <c r="R113" s="56" t="s">
        <v>14</v>
      </c>
      <c r="S113" s="57"/>
      <c r="T113" s="12"/>
    </row>
    <row r="114" spans="11:20" ht="12.75" thickBot="1" x14ac:dyDescent="0.25">
      <c r="K114" s="17"/>
      <c r="L114" s="45" t="s">
        <v>6</v>
      </c>
      <c r="M114" s="46"/>
      <c r="N114" s="47" t="s">
        <v>15</v>
      </c>
      <c r="O114" s="47" t="s">
        <v>9</v>
      </c>
      <c r="P114" s="47" t="s">
        <v>10</v>
      </c>
      <c r="Q114" s="47" t="s">
        <v>11</v>
      </c>
      <c r="R114" s="58" t="s">
        <v>10</v>
      </c>
      <c r="S114" s="58" t="s">
        <v>11</v>
      </c>
      <c r="T114" s="22"/>
    </row>
    <row r="115" spans="11:20" ht="15" thickTop="1" x14ac:dyDescent="0.2">
      <c r="K115" s="23"/>
      <c r="L115" s="24" t="s">
        <v>59</v>
      </c>
      <c r="M115" s="25">
        <v>30</v>
      </c>
      <c r="N115" s="26"/>
      <c r="O115" s="61" t="s">
        <v>22</v>
      </c>
      <c r="P115" s="27"/>
      <c r="Q115" s="27"/>
      <c r="R115" s="27">
        <v>189</v>
      </c>
      <c r="S115" s="27"/>
      <c r="T115" s="28"/>
    </row>
    <row r="116" spans="11:20" ht="14.25" x14ac:dyDescent="0.2">
      <c r="K116" s="23"/>
      <c r="L116" s="24"/>
      <c r="M116" s="25">
        <v>30</v>
      </c>
      <c r="N116" s="26"/>
      <c r="O116" s="25" t="s">
        <v>67</v>
      </c>
      <c r="P116" s="27"/>
      <c r="Q116" s="27">
        <v>189</v>
      </c>
      <c r="R116" s="27">
        <v>0</v>
      </c>
      <c r="S116" s="27">
        <v>0</v>
      </c>
      <c r="T116" s="28"/>
    </row>
    <row r="117" spans="11:20" ht="14.25" x14ac:dyDescent="0.2">
      <c r="K117" s="29"/>
      <c r="L117" s="48"/>
      <c r="M117" s="49"/>
      <c r="N117" s="50"/>
      <c r="O117" s="25"/>
      <c r="P117" s="51"/>
      <c r="Q117" s="51"/>
      <c r="R117" s="59"/>
      <c r="S117" s="59"/>
      <c r="T117" s="34"/>
    </row>
    <row r="119" spans="11:20" ht="14.25" x14ac:dyDescent="0.2">
      <c r="L119" s="40"/>
      <c r="M119" s="40" t="s">
        <v>12</v>
      </c>
      <c r="N119" s="54" t="s">
        <v>18</v>
      </c>
      <c r="P119" s="40"/>
      <c r="Q119" s="40"/>
      <c r="R119" s="53" t="s">
        <v>13</v>
      </c>
      <c r="S119" s="41">
        <v>550</v>
      </c>
    </row>
    <row r="120" spans="11:20" ht="12" thickBot="1" x14ac:dyDescent="0.25">
      <c r="K120" s="42"/>
      <c r="L120" s="42"/>
      <c r="M120" s="42"/>
      <c r="N120" s="42"/>
      <c r="O120" s="42"/>
      <c r="P120" s="42"/>
      <c r="Q120" s="42"/>
      <c r="R120" s="55"/>
      <c r="S120" s="55"/>
      <c r="T120" s="42"/>
    </row>
    <row r="121" spans="11:20" ht="12.75" thickTop="1" x14ac:dyDescent="0.2">
      <c r="K121" s="11"/>
      <c r="L121" s="43"/>
      <c r="N121" s="44"/>
      <c r="O121" s="44" t="s">
        <v>4</v>
      </c>
      <c r="P121" s="44"/>
      <c r="Q121" s="44"/>
      <c r="R121" s="56" t="s">
        <v>14</v>
      </c>
      <c r="S121" s="57"/>
      <c r="T121" s="12"/>
    </row>
    <row r="122" spans="11:20" ht="12.75" thickBot="1" x14ac:dyDescent="0.25">
      <c r="K122" s="17"/>
      <c r="L122" s="45" t="s">
        <v>6</v>
      </c>
      <c r="M122" s="46"/>
      <c r="N122" s="47" t="s">
        <v>15</v>
      </c>
      <c r="O122" s="47" t="s">
        <v>9</v>
      </c>
      <c r="P122" s="47" t="s">
        <v>10</v>
      </c>
      <c r="Q122" s="47" t="s">
        <v>11</v>
      </c>
      <c r="R122" s="58" t="s">
        <v>10</v>
      </c>
      <c r="S122" s="58" t="s">
        <v>11</v>
      </c>
      <c r="T122" s="22"/>
    </row>
    <row r="123" spans="11:20" ht="15" thickTop="1" x14ac:dyDescent="0.2">
      <c r="K123" s="23"/>
      <c r="L123" s="24" t="s">
        <v>59</v>
      </c>
      <c r="M123" s="25">
        <v>30</v>
      </c>
      <c r="N123" s="26"/>
      <c r="O123" s="61" t="s">
        <v>22</v>
      </c>
      <c r="P123" s="27"/>
      <c r="Q123" s="27"/>
      <c r="R123" s="27">
        <v>153</v>
      </c>
      <c r="S123" s="27"/>
      <c r="T123" s="28"/>
    </row>
    <row r="124" spans="11:20" ht="14.25" x14ac:dyDescent="0.2">
      <c r="K124" s="23"/>
      <c r="L124" s="24"/>
      <c r="M124" s="25">
        <v>30</v>
      </c>
      <c r="N124" s="26"/>
      <c r="O124" s="25" t="s">
        <v>67</v>
      </c>
      <c r="P124" s="27"/>
      <c r="Q124" s="27">
        <v>153</v>
      </c>
      <c r="R124" s="27">
        <v>0</v>
      </c>
      <c r="S124" s="27">
        <v>0</v>
      </c>
      <c r="T124" s="28"/>
    </row>
    <row r="125" spans="11:20" ht="14.25" x14ac:dyDescent="0.2">
      <c r="K125" s="29"/>
      <c r="L125" s="48"/>
      <c r="M125" s="49"/>
      <c r="N125" s="50"/>
      <c r="O125" s="25"/>
      <c r="P125" s="51"/>
      <c r="Q125" s="51"/>
      <c r="R125" s="59"/>
      <c r="S125" s="59"/>
      <c r="T125" s="34"/>
    </row>
    <row r="127" spans="11:20" ht="14.25" x14ac:dyDescent="0.2">
      <c r="L127" s="40"/>
      <c r="M127" s="40" t="s">
        <v>12</v>
      </c>
      <c r="N127" s="54" t="s">
        <v>27</v>
      </c>
      <c r="P127" s="40"/>
      <c r="Q127" s="40"/>
      <c r="R127" s="53" t="s">
        <v>13</v>
      </c>
      <c r="S127" s="41">
        <v>560</v>
      </c>
    </row>
    <row r="128" spans="11:20" ht="12" thickBot="1" x14ac:dyDescent="0.25">
      <c r="K128" s="42"/>
      <c r="L128" s="42"/>
      <c r="M128" s="42"/>
      <c r="N128" s="42"/>
      <c r="O128" s="42"/>
      <c r="P128" s="42"/>
      <c r="Q128" s="42"/>
      <c r="R128" s="55"/>
      <c r="S128" s="55"/>
      <c r="T128" s="42"/>
    </row>
    <row r="129" spans="11:20" ht="12.75" thickTop="1" x14ac:dyDescent="0.2">
      <c r="K129" s="11"/>
      <c r="L129" s="43"/>
      <c r="N129" s="44"/>
      <c r="O129" s="44" t="s">
        <v>4</v>
      </c>
      <c r="P129" s="44"/>
      <c r="Q129" s="44"/>
      <c r="R129" s="56" t="s">
        <v>14</v>
      </c>
      <c r="S129" s="57"/>
      <c r="T129" s="12"/>
    </row>
    <row r="130" spans="11:20" ht="12.75" thickBot="1" x14ac:dyDescent="0.25">
      <c r="K130" s="17"/>
      <c r="L130" s="45" t="s">
        <v>6</v>
      </c>
      <c r="M130" s="46"/>
      <c r="N130" s="47" t="s">
        <v>15</v>
      </c>
      <c r="O130" s="47" t="s">
        <v>9</v>
      </c>
      <c r="P130" s="47" t="s">
        <v>10</v>
      </c>
      <c r="Q130" s="47" t="s">
        <v>11</v>
      </c>
      <c r="R130" s="58" t="s">
        <v>10</v>
      </c>
      <c r="S130" s="58" t="s">
        <v>11</v>
      </c>
      <c r="T130" s="22"/>
    </row>
    <row r="131" spans="11:20" ht="15" thickTop="1" x14ac:dyDescent="0.2">
      <c r="K131" s="23"/>
      <c r="L131" s="24" t="s">
        <v>59</v>
      </c>
      <c r="M131" s="25">
        <v>30</v>
      </c>
      <c r="N131" s="26"/>
      <c r="O131" s="61" t="s">
        <v>22</v>
      </c>
      <c r="P131" s="27"/>
      <c r="Q131" s="27"/>
      <c r="R131" s="27">
        <v>550</v>
      </c>
      <c r="S131" s="27"/>
      <c r="T131" s="28"/>
    </row>
    <row r="132" spans="11:20" ht="14.25" x14ac:dyDescent="0.2">
      <c r="K132" s="23"/>
      <c r="L132" s="24"/>
      <c r="M132" s="25">
        <v>30</v>
      </c>
      <c r="N132" s="26"/>
      <c r="O132" s="25" t="s">
        <v>67</v>
      </c>
      <c r="P132" s="27"/>
      <c r="Q132" s="27">
        <v>550</v>
      </c>
      <c r="R132" s="27">
        <v>0</v>
      </c>
      <c r="S132" s="27">
        <v>0</v>
      </c>
      <c r="T132" s="28"/>
    </row>
    <row r="133" spans="11:20" ht="14.25" x14ac:dyDescent="0.2">
      <c r="K133" s="29"/>
      <c r="L133" s="48"/>
      <c r="M133" s="49"/>
      <c r="N133" s="50"/>
      <c r="O133" s="25"/>
      <c r="P133" s="51"/>
      <c r="Q133" s="51"/>
      <c r="R133" s="59"/>
      <c r="S133" s="59"/>
      <c r="T133" s="34"/>
    </row>
  </sheetData>
  <sheetProtection selectLockedCells="1"/>
  <mergeCells count="14">
    <mergeCell ref="D30:H30"/>
    <mergeCell ref="D31:H31"/>
    <mergeCell ref="D32:H32"/>
    <mergeCell ref="D34:F34"/>
    <mergeCell ref="D35:F35"/>
    <mergeCell ref="D36:F36"/>
    <mergeCell ref="D43:F43"/>
    <mergeCell ref="D44:F44"/>
    <mergeCell ref="D37:F37"/>
    <mergeCell ref="D38:F38"/>
    <mergeCell ref="D39:F39"/>
    <mergeCell ref="D40:F40"/>
    <mergeCell ref="D41:F41"/>
    <mergeCell ref="D42:F42"/>
  </mergeCells>
  <printOptions horizontalCentered="1"/>
  <pageMargins left="0.25" right="0.25" top="0.5" bottom="0.5" header="0.5" footer="0.5"/>
  <pageSetup scale="89" orientation="portrait" horizontalDpi="300" verticalDpi="300" r:id="rId1"/>
  <headerFooter alignWithMargins="0"/>
  <rowBreaks count="2" manualBreakCount="2">
    <brk id="46" max="16383" man="1"/>
    <brk id="86" max="19" man="1"/>
  </rowBreaks>
  <colBreaks count="1" manualBreakCount="1">
    <brk id="10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T133"/>
  <sheetViews>
    <sheetView zoomScale="95" zoomScaleNormal="95" workbookViewId="0">
      <selection activeCell="D9" sqref="D9"/>
    </sheetView>
  </sheetViews>
  <sheetFormatPr defaultColWidth="9.140625" defaultRowHeight="11.25" x14ac:dyDescent="0.2"/>
  <cols>
    <col min="1" max="1" width="2.7109375" style="3" customWidth="1"/>
    <col min="2" max="2" width="5.42578125" style="3" customWidth="1"/>
    <col min="3" max="3" width="4" style="3" bestFit="1" customWidth="1"/>
    <col min="4" max="4" width="50.7109375" style="3" customWidth="1"/>
    <col min="5" max="5" width="6.28515625" style="3" customWidth="1"/>
    <col min="6" max="6" width="6.5703125" style="3" customWidth="1"/>
    <col min="7" max="7" width="14.42578125" style="3" customWidth="1"/>
    <col min="8" max="8" width="13.85546875" style="3" customWidth="1"/>
    <col min="9" max="9" width="2.7109375" style="3" customWidth="1"/>
    <col min="10" max="10" width="2.85546875" style="3" customWidth="1"/>
    <col min="11" max="11" width="1.7109375" style="3" customWidth="1"/>
    <col min="12" max="12" width="5.42578125" style="3" customWidth="1"/>
    <col min="13" max="13" width="4.7109375" style="3" customWidth="1"/>
    <col min="14" max="14" width="40.7109375" style="3" customWidth="1"/>
    <col min="15" max="15" width="9.140625" style="3"/>
    <col min="16" max="19" width="12.7109375" style="3" customWidth="1"/>
    <col min="20" max="20" width="1.7109375" style="3" customWidth="1"/>
    <col min="21" max="16384" width="9.140625" style="3"/>
  </cols>
  <sheetData>
    <row r="1" spans="1:20" ht="15" customHeight="1" x14ac:dyDescent="0.25">
      <c r="A1" s="67" t="s">
        <v>56</v>
      </c>
      <c r="B1" s="1"/>
      <c r="C1" s="1"/>
      <c r="D1" s="1"/>
      <c r="E1" s="2" t="s">
        <v>0</v>
      </c>
      <c r="F1" s="36" t="s">
        <v>68</v>
      </c>
      <c r="G1" s="37"/>
      <c r="H1" s="1"/>
      <c r="I1" s="1"/>
    </row>
    <row r="2" spans="1:20" ht="15" customHeight="1" x14ac:dyDescent="0.25">
      <c r="A2" s="67" t="s">
        <v>60</v>
      </c>
      <c r="B2" s="1"/>
      <c r="C2" s="1"/>
      <c r="D2" s="1"/>
      <c r="E2" s="1"/>
      <c r="F2" s="1"/>
      <c r="G2" s="1"/>
      <c r="H2" s="1"/>
      <c r="I2" s="1"/>
      <c r="M2" s="2" t="s">
        <v>20</v>
      </c>
      <c r="N2" s="60" t="str">
        <f>F1</f>
        <v>Dhruv Patil</v>
      </c>
    </row>
    <row r="3" spans="1:20" ht="15" customHeight="1" x14ac:dyDescent="0.25">
      <c r="A3" s="1"/>
      <c r="B3" s="1"/>
      <c r="C3" s="1"/>
      <c r="D3" s="62"/>
      <c r="E3" s="1"/>
      <c r="F3" s="1"/>
      <c r="G3" s="1"/>
      <c r="H3" s="1"/>
      <c r="I3" s="1"/>
    </row>
    <row r="5" spans="1:20" s="7" customFormat="1" ht="15" x14ac:dyDescent="0.2">
      <c r="A5" s="4"/>
      <c r="B5" s="4"/>
      <c r="C5" s="4"/>
      <c r="D5" s="5" t="s">
        <v>1</v>
      </c>
      <c r="E5" s="4"/>
      <c r="F5" s="4"/>
      <c r="G5" s="6" t="s">
        <v>2</v>
      </c>
      <c r="H5" s="38">
        <v>24</v>
      </c>
      <c r="I5" s="4"/>
      <c r="K5" s="3"/>
      <c r="L5" s="40"/>
      <c r="M5" s="40" t="s">
        <v>12</v>
      </c>
      <c r="N5" s="54" t="s">
        <v>31</v>
      </c>
      <c r="O5" s="3"/>
      <c r="P5" s="40"/>
      <c r="Q5" s="40"/>
      <c r="R5" s="53" t="s">
        <v>13</v>
      </c>
      <c r="S5" s="54">
        <v>110</v>
      </c>
      <c r="T5" s="3"/>
    </row>
    <row r="6" spans="1:20" s="10" customFormat="1" ht="12" thickBot="1" x14ac:dyDescent="0.25">
      <c r="A6" s="8"/>
      <c r="B6" s="8"/>
      <c r="C6" s="8"/>
      <c r="D6" s="8"/>
      <c r="E6" s="8"/>
      <c r="F6" s="8"/>
      <c r="G6" s="9">
        <v>1</v>
      </c>
      <c r="H6" s="9">
        <v>2</v>
      </c>
      <c r="I6" s="8"/>
      <c r="K6" s="42"/>
      <c r="L6" s="42"/>
      <c r="M6" s="42"/>
      <c r="N6" s="42"/>
      <c r="O6" s="42"/>
      <c r="P6" s="42"/>
      <c r="Q6" s="42"/>
      <c r="R6" s="55"/>
      <c r="S6" s="55"/>
      <c r="T6" s="42"/>
    </row>
    <row r="7" spans="1:20" ht="12.95" customHeight="1" thickTop="1" x14ac:dyDescent="0.2">
      <c r="A7" s="11"/>
      <c r="B7" s="12"/>
      <c r="C7" s="13"/>
      <c r="D7" s="14"/>
      <c r="E7" s="14" t="s">
        <v>3</v>
      </c>
      <c r="F7" s="14" t="s">
        <v>4</v>
      </c>
      <c r="G7" s="15" t="s">
        <v>5</v>
      </c>
      <c r="H7" s="16"/>
      <c r="I7" s="12"/>
      <c r="K7" s="11"/>
      <c r="L7" s="43"/>
      <c r="N7" s="44"/>
      <c r="O7" s="44" t="s">
        <v>4</v>
      </c>
      <c r="P7" s="44"/>
      <c r="Q7" s="44"/>
      <c r="R7" s="56" t="s">
        <v>14</v>
      </c>
      <c r="S7" s="57"/>
      <c r="T7" s="12"/>
    </row>
    <row r="8" spans="1:20" ht="12.95" customHeight="1" thickBot="1" x14ac:dyDescent="0.25">
      <c r="A8" s="17"/>
      <c r="B8" s="18" t="s">
        <v>6</v>
      </c>
      <c r="C8" s="19"/>
      <c r="D8" s="20" t="s">
        <v>7</v>
      </c>
      <c r="E8" s="20" t="s">
        <v>8</v>
      </c>
      <c r="F8" s="20" t="s">
        <v>9</v>
      </c>
      <c r="G8" s="21" t="s">
        <v>10</v>
      </c>
      <c r="H8" s="21" t="s">
        <v>11</v>
      </c>
      <c r="I8" s="22"/>
      <c r="K8" s="17"/>
      <c r="L8" s="45" t="s">
        <v>6</v>
      </c>
      <c r="M8" s="46"/>
      <c r="N8" s="47" t="s">
        <v>15</v>
      </c>
      <c r="O8" s="47" t="s">
        <v>9</v>
      </c>
      <c r="P8" s="47" t="s">
        <v>10</v>
      </c>
      <c r="Q8" s="47" t="s">
        <v>11</v>
      </c>
      <c r="R8" s="58" t="s">
        <v>10</v>
      </c>
      <c r="S8" s="58" t="s">
        <v>11</v>
      </c>
      <c r="T8" s="22"/>
    </row>
    <row r="9" spans="1:20" ht="15.95" customHeight="1" thickTop="1" x14ac:dyDescent="0.25">
      <c r="A9" s="23">
        <v>1</v>
      </c>
      <c r="B9" s="30"/>
      <c r="C9" s="31"/>
      <c r="D9" s="102" t="s">
        <v>71</v>
      </c>
      <c r="E9" s="31"/>
      <c r="F9" s="32"/>
      <c r="G9" s="33"/>
      <c r="H9" s="33"/>
      <c r="I9" s="28">
        <v>1</v>
      </c>
      <c r="K9" s="23"/>
      <c r="L9" s="24" t="s">
        <v>63</v>
      </c>
      <c r="M9" s="25">
        <v>31</v>
      </c>
      <c r="N9" s="26" t="s">
        <v>21</v>
      </c>
      <c r="O9" s="61" t="s">
        <v>22</v>
      </c>
      <c r="P9" s="27"/>
      <c r="Q9" s="27"/>
      <c r="R9" s="27">
        <v>13600</v>
      </c>
      <c r="S9" s="27"/>
      <c r="T9" s="28"/>
    </row>
    <row r="10" spans="1:20" ht="15.95" customHeight="1" x14ac:dyDescent="0.2">
      <c r="A10" s="29">
        <f t="shared" ref="A10:A26" si="0">A9+1</f>
        <v>2</v>
      </c>
      <c r="B10" s="24" t="s">
        <v>63</v>
      </c>
      <c r="C10" s="25">
        <v>31</v>
      </c>
      <c r="D10" s="26" t="str">
        <f>'Work Sheets'!B53</f>
        <v>Sales</v>
      </c>
      <c r="E10" s="25" t="s">
        <v>66</v>
      </c>
      <c r="F10" s="26">
        <v>410</v>
      </c>
      <c r="G10" s="27">
        <f>'Work Sheets'!D53</f>
        <v>8280</v>
      </c>
      <c r="H10" s="27"/>
      <c r="I10" s="34">
        <f t="shared" ref="I10:I26" si="1">I9+1</f>
        <v>2</v>
      </c>
      <c r="K10" s="23"/>
      <c r="L10" s="24"/>
      <c r="M10" s="25"/>
      <c r="N10" s="26"/>
      <c r="O10" s="25"/>
      <c r="P10" s="27"/>
      <c r="Q10" s="27"/>
      <c r="R10" s="27"/>
      <c r="S10" s="27"/>
      <c r="T10" s="28"/>
    </row>
    <row r="11" spans="1:20" ht="15.95" customHeight="1" x14ac:dyDescent="0.2">
      <c r="A11" s="29">
        <f t="shared" si="0"/>
        <v>3</v>
      </c>
      <c r="B11" s="30"/>
      <c r="C11" s="31"/>
      <c r="D11" s="35" t="str">
        <f>'Work Sheets'!B52</f>
        <v>Income Summary</v>
      </c>
      <c r="E11" s="31"/>
      <c r="F11" s="32">
        <v>330</v>
      </c>
      <c r="G11" s="33"/>
      <c r="H11" s="33">
        <f>'Work Sheets'!D53</f>
        <v>8280</v>
      </c>
      <c r="I11" s="34">
        <f t="shared" si="1"/>
        <v>3</v>
      </c>
      <c r="K11" s="29"/>
      <c r="L11" s="48"/>
      <c r="M11" s="49"/>
      <c r="N11" s="50"/>
      <c r="O11" s="25"/>
      <c r="P11" s="51"/>
      <c r="Q11" s="51"/>
      <c r="R11" s="51"/>
      <c r="S11" s="51"/>
      <c r="T11" s="34"/>
    </row>
    <row r="12" spans="1:20" ht="15.95" customHeight="1" x14ac:dyDescent="0.2">
      <c r="A12" s="23">
        <f t="shared" si="0"/>
        <v>4</v>
      </c>
      <c r="B12" s="30"/>
      <c r="C12" s="31">
        <v>31</v>
      </c>
      <c r="D12" s="35" t="str">
        <f>D11</f>
        <v>Income Summary</v>
      </c>
      <c r="E12" s="31" t="s">
        <v>66</v>
      </c>
      <c r="F12" s="32">
        <v>330</v>
      </c>
      <c r="G12" s="33">
        <f>SUM(H13:H18)</f>
        <v>2856</v>
      </c>
      <c r="H12" s="33"/>
      <c r="I12" s="28">
        <f t="shared" si="1"/>
        <v>4</v>
      </c>
      <c r="R12" s="52"/>
      <c r="S12" s="52"/>
    </row>
    <row r="13" spans="1:20" ht="15.95" customHeight="1" x14ac:dyDescent="0.2">
      <c r="A13" s="29">
        <f t="shared" si="0"/>
        <v>5</v>
      </c>
      <c r="B13" s="24"/>
      <c r="C13" s="25"/>
      <c r="D13" s="35" t="str">
        <f>'Work Sheets'!B54</f>
        <v>Advertising Expense</v>
      </c>
      <c r="E13" s="25"/>
      <c r="F13" s="26">
        <v>510</v>
      </c>
      <c r="G13" s="27"/>
      <c r="H13" s="89">
        <v>910</v>
      </c>
      <c r="I13" s="34">
        <f t="shared" si="1"/>
        <v>5</v>
      </c>
      <c r="L13" s="40"/>
      <c r="M13" s="40" t="s">
        <v>12</v>
      </c>
      <c r="N13" s="54" t="s">
        <v>32</v>
      </c>
      <c r="P13" s="40"/>
      <c r="Q13" s="40"/>
      <c r="R13" s="53" t="s">
        <v>13</v>
      </c>
      <c r="S13" s="41">
        <v>120</v>
      </c>
    </row>
    <row r="14" spans="1:20" ht="15.95" customHeight="1" thickBot="1" x14ac:dyDescent="0.25">
      <c r="A14" s="29">
        <f t="shared" si="0"/>
        <v>6</v>
      </c>
      <c r="B14" s="30"/>
      <c r="C14" s="31"/>
      <c r="D14" s="109" t="s">
        <v>47</v>
      </c>
      <c r="E14" s="31"/>
      <c r="F14" s="32">
        <v>520</v>
      </c>
      <c r="G14" s="33"/>
      <c r="H14" s="89">
        <v>2</v>
      </c>
      <c r="I14" s="34">
        <f t="shared" si="1"/>
        <v>6</v>
      </c>
      <c r="K14" s="42"/>
      <c r="L14" s="42"/>
      <c r="M14" s="42"/>
      <c r="N14" s="42"/>
      <c r="O14" s="42"/>
      <c r="P14" s="42"/>
      <c r="Q14" s="42"/>
      <c r="R14" s="55"/>
      <c r="S14" s="55"/>
      <c r="T14" s="42"/>
    </row>
    <row r="15" spans="1:20" ht="15.95" customHeight="1" thickTop="1" x14ac:dyDescent="0.2">
      <c r="A15" s="23">
        <f t="shared" si="0"/>
        <v>7</v>
      </c>
      <c r="B15" s="30"/>
      <c r="C15" s="25"/>
      <c r="D15" s="110" t="s">
        <v>19</v>
      </c>
      <c r="E15" s="25"/>
      <c r="F15" s="26">
        <v>530</v>
      </c>
      <c r="G15" s="27"/>
      <c r="H15" s="89">
        <v>130</v>
      </c>
      <c r="I15" s="28">
        <f t="shared" si="1"/>
        <v>7</v>
      </c>
      <c r="K15" s="11"/>
      <c r="L15" s="43"/>
      <c r="N15" s="44"/>
      <c r="O15" s="44" t="s">
        <v>4</v>
      </c>
      <c r="P15" s="44"/>
      <c r="Q15" s="44"/>
      <c r="R15" s="56" t="s">
        <v>14</v>
      </c>
      <c r="S15" s="57"/>
      <c r="T15" s="12"/>
    </row>
    <row r="16" spans="1:20" ht="15.95" customHeight="1" thickBot="1" x14ac:dyDescent="0.25">
      <c r="A16" s="29">
        <f t="shared" si="0"/>
        <v>8</v>
      </c>
      <c r="B16" s="24"/>
      <c r="C16" s="31"/>
      <c r="D16" s="111" t="s">
        <v>26</v>
      </c>
      <c r="E16" s="31"/>
      <c r="F16" s="32">
        <v>540</v>
      </c>
      <c r="G16" s="33"/>
      <c r="H16" s="94">
        <v>378</v>
      </c>
      <c r="I16" s="34">
        <f t="shared" si="1"/>
        <v>8</v>
      </c>
      <c r="K16" s="17"/>
      <c r="L16" s="45" t="s">
        <v>6</v>
      </c>
      <c r="M16" s="46"/>
      <c r="N16" s="47" t="s">
        <v>15</v>
      </c>
      <c r="O16" s="47" t="s">
        <v>9</v>
      </c>
      <c r="P16" s="47" t="s">
        <v>10</v>
      </c>
      <c r="Q16" s="47" t="s">
        <v>11</v>
      </c>
      <c r="R16" s="58" t="s">
        <v>10</v>
      </c>
      <c r="S16" s="58" t="s">
        <v>11</v>
      </c>
      <c r="T16" s="22"/>
    </row>
    <row r="17" spans="1:20" ht="15.95" customHeight="1" thickTop="1" x14ac:dyDescent="0.2">
      <c r="A17" s="29">
        <f t="shared" si="0"/>
        <v>9</v>
      </c>
      <c r="B17" s="31"/>
      <c r="C17" s="35"/>
      <c r="D17" s="112" t="s">
        <v>18</v>
      </c>
      <c r="E17" s="32"/>
      <c r="F17" s="32">
        <v>550</v>
      </c>
      <c r="G17" s="33"/>
      <c r="H17" s="89">
        <v>236</v>
      </c>
      <c r="I17" s="34">
        <f t="shared" si="1"/>
        <v>9</v>
      </c>
      <c r="K17" s="23"/>
      <c r="L17" s="24" t="s">
        <v>63</v>
      </c>
      <c r="M17" s="25">
        <v>31</v>
      </c>
      <c r="N17" s="26" t="s">
        <v>21</v>
      </c>
      <c r="O17" s="61" t="s">
        <v>22</v>
      </c>
      <c r="P17" s="27"/>
      <c r="Q17" s="27"/>
      <c r="R17" s="27">
        <v>150</v>
      </c>
      <c r="S17" s="27"/>
      <c r="T17" s="28"/>
    </row>
    <row r="18" spans="1:20" ht="15.95" customHeight="1" x14ac:dyDescent="0.2">
      <c r="A18" s="23">
        <f t="shared" si="0"/>
        <v>10</v>
      </c>
      <c r="B18" s="31"/>
      <c r="C18" s="35"/>
      <c r="D18" s="110" t="s">
        <v>27</v>
      </c>
      <c r="E18" s="32"/>
      <c r="F18" s="32">
        <v>560</v>
      </c>
      <c r="G18" s="33"/>
      <c r="H18" s="92">
        <v>1200</v>
      </c>
      <c r="I18" s="28">
        <f t="shared" si="1"/>
        <v>10</v>
      </c>
      <c r="K18" s="23"/>
      <c r="L18" s="24"/>
      <c r="M18" s="25"/>
      <c r="N18" s="26"/>
      <c r="O18" s="25"/>
      <c r="P18" s="27"/>
      <c r="Q18" s="27"/>
      <c r="R18" s="27"/>
      <c r="S18" s="27"/>
      <c r="T18" s="28"/>
    </row>
    <row r="19" spans="1:20" ht="15.95" customHeight="1" x14ac:dyDescent="0.2">
      <c r="A19" s="29">
        <f t="shared" si="0"/>
        <v>11</v>
      </c>
      <c r="B19" s="30"/>
      <c r="C19" s="31">
        <v>31</v>
      </c>
      <c r="D19" s="39" t="str">
        <f>D11</f>
        <v>Income Summary</v>
      </c>
      <c r="E19" s="31" t="s">
        <v>66</v>
      </c>
      <c r="F19" s="32">
        <v>330</v>
      </c>
      <c r="G19" s="33">
        <v>5424</v>
      </c>
      <c r="H19" s="27"/>
      <c r="I19" s="34">
        <f t="shared" si="1"/>
        <v>11</v>
      </c>
      <c r="K19" s="29"/>
      <c r="L19" s="48"/>
      <c r="M19" s="49"/>
      <c r="N19" s="50"/>
      <c r="O19" s="25"/>
      <c r="P19" s="51"/>
      <c r="Q19" s="51"/>
      <c r="R19" s="59"/>
      <c r="S19" s="59"/>
      <c r="T19" s="34"/>
    </row>
    <row r="20" spans="1:20" ht="15.95" customHeight="1" x14ac:dyDescent="0.2">
      <c r="A20" s="29">
        <f t="shared" si="0"/>
        <v>12</v>
      </c>
      <c r="B20" s="30"/>
      <c r="C20" s="25"/>
      <c r="D20" s="35" t="str">
        <f>'Work Sheets'!B50</f>
        <v>Sawyer Parker - Capital</v>
      </c>
      <c r="E20" s="25"/>
      <c r="F20" s="26">
        <v>310</v>
      </c>
      <c r="G20" s="27"/>
      <c r="H20" s="27">
        <v>5424</v>
      </c>
      <c r="I20" s="34">
        <f t="shared" si="1"/>
        <v>12</v>
      </c>
    </row>
    <row r="21" spans="1:20" ht="15.95" customHeight="1" x14ac:dyDescent="0.2">
      <c r="A21" s="23">
        <f t="shared" si="0"/>
        <v>13</v>
      </c>
      <c r="B21" s="30"/>
      <c r="C21" s="31">
        <v>31</v>
      </c>
      <c r="D21" s="39" t="str">
        <f>D20</f>
        <v>Sawyer Parker - Capital</v>
      </c>
      <c r="E21" s="31" t="s">
        <v>66</v>
      </c>
      <c r="F21" s="32">
        <v>310</v>
      </c>
      <c r="G21" s="33">
        <f>'Work Sheets'!E51</f>
        <v>3400</v>
      </c>
      <c r="H21" s="33"/>
      <c r="I21" s="28">
        <f t="shared" si="1"/>
        <v>13</v>
      </c>
      <c r="L21" s="40"/>
      <c r="M21" s="40" t="s">
        <v>12</v>
      </c>
      <c r="N21" s="54" t="s">
        <v>51</v>
      </c>
      <c r="P21" s="40"/>
      <c r="Q21" s="40"/>
      <c r="R21" s="53" t="s">
        <v>13</v>
      </c>
      <c r="S21" s="54">
        <v>130</v>
      </c>
    </row>
    <row r="22" spans="1:20" ht="15.95" customHeight="1" thickBot="1" x14ac:dyDescent="0.25">
      <c r="A22" s="29">
        <f t="shared" si="0"/>
        <v>14</v>
      </c>
      <c r="B22" s="30"/>
      <c r="C22" s="31"/>
      <c r="D22" s="35" t="str">
        <f>'Work Sheets'!B51</f>
        <v>Sawyer Parker - Drawing</v>
      </c>
      <c r="E22" s="31"/>
      <c r="F22" s="32">
        <v>320</v>
      </c>
      <c r="G22" s="33"/>
      <c r="H22" s="33">
        <f>G21</f>
        <v>3400</v>
      </c>
      <c r="I22" s="34">
        <f t="shared" si="1"/>
        <v>14</v>
      </c>
      <c r="K22" s="42"/>
      <c r="L22" s="42"/>
      <c r="M22" s="42"/>
      <c r="N22" s="42"/>
      <c r="O22" s="42"/>
      <c r="P22" s="42"/>
      <c r="Q22" s="42"/>
      <c r="R22" s="55"/>
      <c r="S22" s="55"/>
      <c r="T22" s="42"/>
    </row>
    <row r="23" spans="1:20" ht="15.95" customHeight="1" thickTop="1" x14ac:dyDescent="0.2">
      <c r="A23" s="29">
        <f t="shared" si="0"/>
        <v>15</v>
      </c>
      <c r="B23" s="30"/>
      <c r="C23" s="31"/>
      <c r="D23" s="35"/>
      <c r="E23" s="32"/>
      <c r="F23" s="32"/>
      <c r="G23" s="33"/>
      <c r="H23" s="33"/>
      <c r="I23" s="34">
        <f t="shared" si="1"/>
        <v>15</v>
      </c>
      <c r="K23" s="11"/>
      <c r="L23" s="43"/>
      <c r="N23" s="44"/>
      <c r="O23" s="44" t="s">
        <v>4</v>
      </c>
      <c r="P23" s="44"/>
      <c r="Q23" s="44"/>
      <c r="R23" s="56" t="s">
        <v>14</v>
      </c>
      <c r="S23" s="57"/>
      <c r="T23" s="12"/>
    </row>
    <row r="24" spans="1:20" ht="15" thickBot="1" x14ac:dyDescent="0.25">
      <c r="A24" s="29">
        <f t="shared" si="0"/>
        <v>16</v>
      </c>
      <c r="B24" s="30"/>
      <c r="C24" s="31"/>
      <c r="D24" s="35"/>
      <c r="E24" s="32"/>
      <c r="F24" s="32"/>
      <c r="G24" s="33"/>
      <c r="H24" s="33"/>
      <c r="I24" s="34">
        <f t="shared" si="1"/>
        <v>16</v>
      </c>
      <c r="K24" s="17"/>
      <c r="L24" s="45" t="s">
        <v>6</v>
      </c>
      <c r="M24" s="46"/>
      <c r="N24" s="47" t="s">
        <v>15</v>
      </c>
      <c r="O24" s="47" t="s">
        <v>9</v>
      </c>
      <c r="P24" s="47" t="s">
        <v>10</v>
      </c>
      <c r="Q24" s="47" t="s">
        <v>11</v>
      </c>
      <c r="R24" s="58" t="s">
        <v>10</v>
      </c>
      <c r="S24" s="58" t="s">
        <v>11</v>
      </c>
      <c r="T24" s="22"/>
    </row>
    <row r="25" spans="1:20" ht="15" thickTop="1" x14ac:dyDescent="0.2">
      <c r="A25" s="29">
        <f t="shared" si="0"/>
        <v>17</v>
      </c>
      <c r="B25" s="30"/>
      <c r="C25" s="31"/>
      <c r="D25" s="35"/>
      <c r="E25" s="32"/>
      <c r="F25" s="32"/>
      <c r="G25" s="33"/>
      <c r="H25" s="33"/>
      <c r="I25" s="34">
        <f t="shared" si="1"/>
        <v>17</v>
      </c>
      <c r="K25" s="23"/>
      <c r="L25" s="24" t="s">
        <v>63</v>
      </c>
      <c r="M25" s="25">
        <v>31</v>
      </c>
      <c r="N25" s="26" t="s">
        <v>21</v>
      </c>
      <c r="O25" s="61" t="s">
        <v>22</v>
      </c>
      <c r="P25" s="27"/>
      <c r="Q25" s="27"/>
      <c r="R25" s="27">
        <v>2996</v>
      </c>
      <c r="S25" s="27"/>
      <c r="T25" s="28"/>
    </row>
    <row r="26" spans="1:20" ht="14.25" x14ac:dyDescent="0.2">
      <c r="A26" s="29">
        <f t="shared" si="0"/>
        <v>18</v>
      </c>
      <c r="B26" s="30"/>
      <c r="C26" s="31"/>
      <c r="D26" s="35"/>
      <c r="E26" s="32"/>
      <c r="F26" s="32"/>
      <c r="G26" s="33"/>
      <c r="H26" s="33"/>
      <c r="I26" s="34">
        <f t="shared" si="1"/>
        <v>18</v>
      </c>
      <c r="K26" s="23"/>
      <c r="L26" s="24"/>
      <c r="M26" s="25"/>
      <c r="N26" s="26"/>
      <c r="O26" s="25"/>
      <c r="P26" s="27"/>
      <c r="Q26" s="27"/>
      <c r="R26" s="27"/>
      <c r="S26" s="27"/>
      <c r="T26" s="28"/>
    </row>
    <row r="27" spans="1:20" ht="14.25" x14ac:dyDescent="0.2">
      <c r="K27" s="29"/>
      <c r="L27" s="48"/>
      <c r="M27" s="49"/>
      <c r="N27" s="50"/>
      <c r="O27" s="25"/>
      <c r="P27" s="51"/>
      <c r="Q27" s="51"/>
      <c r="R27" s="51"/>
      <c r="S27" s="51"/>
      <c r="T27" s="34"/>
    </row>
    <row r="28" spans="1:20" x14ac:dyDescent="0.2">
      <c r="R28" s="52"/>
      <c r="S28" s="52"/>
    </row>
    <row r="29" spans="1:20" x14ac:dyDescent="0.2">
      <c r="R29" s="52"/>
      <c r="S29" s="52"/>
    </row>
    <row r="30" spans="1:20" ht="15.75" x14ac:dyDescent="0.25">
      <c r="D30" s="123" t="str">
        <f>'Work Sheets'!B36</f>
        <v>Repair World</v>
      </c>
      <c r="E30" s="123"/>
      <c r="F30" s="123"/>
      <c r="G30" s="123"/>
      <c r="H30" s="123"/>
      <c r="R30" s="52"/>
      <c r="S30" s="52"/>
    </row>
    <row r="31" spans="1:20" ht="15.75" x14ac:dyDescent="0.25">
      <c r="D31" s="124" t="s">
        <v>75</v>
      </c>
      <c r="E31" s="124"/>
      <c r="F31" s="124"/>
      <c r="G31" s="124"/>
      <c r="H31" s="124"/>
      <c r="L31" s="40"/>
      <c r="M31" s="40" t="s">
        <v>12</v>
      </c>
      <c r="N31" s="54" t="s">
        <v>16</v>
      </c>
      <c r="P31" s="40"/>
      <c r="Q31" s="40"/>
      <c r="R31" s="53" t="s">
        <v>13</v>
      </c>
      <c r="S31" s="41">
        <v>140</v>
      </c>
    </row>
    <row r="32" spans="1:20" ht="16.5" thickBot="1" x14ac:dyDescent="0.3">
      <c r="D32" s="125" t="s">
        <v>76</v>
      </c>
      <c r="E32" s="125"/>
      <c r="F32" s="125"/>
      <c r="G32" s="125"/>
      <c r="H32" s="125"/>
      <c r="K32" s="42"/>
      <c r="L32" s="42"/>
      <c r="M32" s="42"/>
      <c r="N32" s="42"/>
      <c r="O32" s="42"/>
      <c r="P32" s="42"/>
      <c r="Q32" s="42"/>
      <c r="R32" s="55"/>
      <c r="S32" s="55"/>
      <c r="T32" s="42"/>
    </row>
    <row r="33" spans="4:20" ht="7.5" customHeight="1" thickTop="1" thickBot="1" x14ac:dyDescent="0.25">
      <c r="D33" s="42"/>
      <c r="E33" s="42"/>
      <c r="F33" s="42"/>
      <c r="G33" s="42"/>
      <c r="H33" s="42"/>
      <c r="K33" s="11"/>
      <c r="L33" s="43"/>
      <c r="N33" s="44"/>
      <c r="O33" s="44" t="s">
        <v>4</v>
      </c>
      <c r="P33" s="44"/>
      <c r="Q33" s="44"/>
      <c r="R33" s="56" t="s">
        <v>14</v>
      </c>
      <c r="S33" s="57"/>
      <c r="T33" s="12"/>
    </row>
    <row r="34" spans="4:20" ht="16.5" thickTop="1" thickBot="1" x14ac:dyDescent="0.25">
      <c r="D34" s="126" t="s">
        <v>28</v>
      </c>
      <c r="E34" s="126"/>
      <c r="F34" s="126"/>
      <c r="G34" s="114" t="s">
        <v>29</v>
      </c>
      <c r="H34" s="66" t="s">
        <v>30</v>
      </c>
      <c r="K34" s="17"/>
      <c r="L34" s="45" t="s">
        <v>6</v>
      </c>
      <c r="M34" s="46"/>
      <c r="N34" s="47" t="s">
        <v>15</v>
      </c>
      <c r="O34" s="47" t="s">
        <v>9</v>
      </c>
      <c r="P34" s="47" t="s">
        <v>10</v>
      </c>
      <c r="Q34" s="47" t="s">
        <v>11</v>
      </c>
      <c r="R34" s="58" t="s">
        <v>10</v>
      </c>
      <c r="S34" s="58" t="s">
        <v>11</v>
      </c>
      <c r="T34" s="22"/>
    </row>
    <row r="35" spans="4:20" ht="15.75" thickTop="1" x14ac:dyDescent="0.2">
      <c r="D35" s="122" t="str">
        <f>'Work Sheets'!B44</f>
        <v>Cash</v>
      </c>
      <c r="E35" s="122"/>
      <c r="F35" s="122"/>
      <c r="G35" s="63">
        <f>'Work Sheets'!E44</f>
        <v>13600</v>
      </c>
      <c r="H35" s="64"/>
      <c r="K35" s="23"/>
      <c r="L35" s="24" t="s">
        <v>63</v>
      </c>
      <c r="M35" s="25">
        <v>31</v>
      </c>
      <c r="N35" s="26" t="s">
        <v>21</v>
      </c>
      <c r="O35" s="61" t="s">
        <v>22</v>
      </c>
      <c r="P35" s="27"/>
      <c r="Q35" s="27"/>
      <c r="R35" s="27">
        <v>240</v>
      </c>
      <c r="S35" s="27"/>
      <c r="T35" s="28"/>
    </row>
    <row r="36" spans="4:20" ht="15" x14ac:dyDescent="0.2">
      <c r="D36" s="121" t="str">
        <f>'Work Sheets'!B45</f>
        <v>Petty Cash</v>
      </c>
      <c r="E36" s="122"/>
      <c r="F36" s="122"/>
      <c r="G36" s="63">
        <f>'Work Sheets'!E45</f>
        <v>150</v>
      </c>
      <c r="H36" s="64"/>
      <c r="K36" s="23"/>
      <c r="L36" s="24"/>
      <c r="M36" s="25"/>
      <c r="N36" s="26"/>
      <c r="O36" s="25"/>
      <c r="P36" s="27"/>
      <c r="Q36" s="27"/>
      <c r="R36" s="27"/>
      <c r="S36" s="27"/>
      <c r="T36" s="28"/>
    </row>
    <row r="37" spans="4:20" ht="15" x14ac:dyDescent="0.2">
      <c r="D37" s="121" t="str">
        <f>'Work Sheets'!B46</f>
        <v>Accounts Receivable - Eat Right Eatery</v>
      </c>
      <c r="E37" s="122"/>
      <c r="F37" s="122"/>
      <c r="G37" s="63">
        <f>'Work Sheets'!E46</f>
        <v>2996</v>
      </c>
      <c r="H37" s="64"/>
      <c r="K37" s="29"/>
      <c r="L37" s="48"/>
      <c r="M37" s="49"/>
      <c r="N37" s="50"/>
      <c r="O37" s="25"/>
      <c r="P37" s="51"/>
      <c r="Q37" s="51"/>
      <c r="R37" s="59"/>
      <c r="S37" s="59"/>
      <c r="T37" s="34"/>
    </row>
    <row r="38" spans="4:20" ht="15" customHeight="1" x14ac:dyDescent="0.2">
      <c r="D38" s="122" t="str">
        <f>'Work Sheets'!B47</f>
        <v xml:space="preserve">Supplies  </v>
      </c>
      <c r="E38" s="122"/>
      <c r="F38" s="122"/>
      <c r="G38" s="63">
        <f>'Work Sheets'!E47</f>
        <v>240</v>
      </c>
      <c r="H38" s="64"/>
    </row>
    <row r="39" spans="4:20" ht="15" customHeight="1" x14ac:dyDescent="0.2">
      <c r="D39" s="122" t="str">
        <f>'Work Sheets'!B48</f>
        <v>Prepaid Insurance</v>
      </c>
      <c r="E39" s="122"/>
      <c r="F39" s="122"/>
      <c r="G39" s="63">
        <f>'Work Sheets'!E48</f>
        <v>520</v>
      </c>
      <c r="H39" s="64"/>
      <c r="L39" s="40"/>
      <c r="M39" s="40" t="s">
        <v>12</v>
      </c>
      <c r="N39" s="54" t="s">
        <v>17</v>
      </c>
      <c r="P39" s="40"/>
      <c r="Q39" s="40"/>
      <c r="R39" s="53" t="s">
        <v>13</v>
      </c>
      <c r="S39" s="41">
        <v>150</v>
      </c>
    </row>
    <row r="40" spans="4:20" ht="15" customHeight="1" thickBot="1" x14ac:dyDescent="0.25">
      <c r="D40" s="121" t="str">
        <f>'Work Sheets'!B49</f>
        <v>Accounts Payable - Lakeville Supplies</v>
      </c>
      <c r="E40" s="122"/>
      <c r="F40" s="122"/>
      <c r="G40" s="63"/>
      <c r="H40" s="64">
        <f>'Work Sheets'!F49</f>
        <v>596</v>
      </c>
      <c r="K40" s="42"/>
      <c r="L40" s="42"/>
      <c r="M40" s="42"/>
      <c r="N40" s="42"/>
      <c r="O40" s="42"/>
      <c r="P40" s="42"/>
      <c r="Q40" s="42"/>
      <c r="R40" s="55"/>
      <c r="S40" s="55"/>
      <c r="T40" s="42"/>
    </row>
    <row r="41" spans="4:20" ht="15" customHeight="1" thickTop="1" thickBot="1" x14ac:dyDescent="0.25">
      <c r="D41" s="121" t="str">
        <f>'Work Sheets'!B50</f>
        <v>Sawyer Parker - Capital</v>
      </c>
      <c r="E41" s="122"/>
      <c r="F41" s="122"/>
      <c r="G41" s="103"/>
      <c r="H41" s="104">
        <v>16910</v>
      </c>
      <c r="K41" s="11"/>
      <c r="L41" s="43"/>
      <c r="N41" s="44"/>
      <c r="O41" s="44" t="s">
        <v>4</v>
      </c>
      <c r="P41" s="44"/>
      <c r="Q41" s="44"/>
      <c r="R41" s="56" t="s">
        <v>14</v>
      </c>
      <c r="S41" s="57"/>
      <c r="T41" s="12"/>
    </row>
    <row r="42" spans="4:20" ht="15" customHeight="1" thickBot="1" x14ac:dyDescent="0.25">
      <c r="D42" s="121" t="s">
        <v>77</v>
      </c>
      <c r="E42" s="122"/>
      <c r="F42" s="122"/>
      <c r="G42" s="107">
        <f>SUM(G35:G41)</f>
        <v>17506</v>
      </c>
      <c r="H42" s="108">
        <f>SUM(H40:H41)</f>
        <v>17506</v>
      </c>
      <c r="K42" s="17"/>
      <c r="L42" s="45" t="s">
        <v>6</v>
      </c>
      <c r="M42" s="46"/>
      <c r="N42" s="47" t="s">
        <v>15</v>
      </c>
      <c r="O42" s="47" t="s">
        <v>9</v>
      </c>
      <c r="P42" s="47" t="s">
        <v>10</v>
      </c>
      <c r="Q42" s="47" t="s">
        <v>11</v>
      </c>
      <c r="R42" s="58" t="s">
        <v>10</v>
      </c>
      <c r="S42" s="58" t="s">
        <v>11</v>
      </c>
      <c r="T42" s="22"/>
    </row>
    <row r="43" spans="4:20" ht="15" customHeight="1" thickTop="1" x14ac:dyDescent="0.2">
      <c r="D43" s="122"/>
      <c r="E43" s="122"/>
      <c r="F43" s="122"/>
      <c r="G43" s="100"/>
      <c r="H43" s="101"/>
      <c r="K43" s="23"/>
      <c r="L43" s="24" t="s">
        <v>63</v>
      </c>
      <c r="M43" s="25">
        <v>31</v>
      </c>
      <c r="N43" s="26"/>
      <c r="O43" s="61" t="s">
        <v>22</v>
      </c>
      <c r="P43" s="27"/>
      <c r="Q43" s="27"/>
      <c r="R43" s="27">
        <v>520</v>
      </c>
      <c r="S43" s="27"/>
      <c r="T43" s="28"/>
    </row>
    <row r="44" spans="4:20" ht="15" customHeight="1" x14ac:dyDescent="0.2">
      <c r="D44" s="122"/>
      <c r="E44" s="122"/>
      <c r="F44" s="122"/>
      <c r="G44" s="65"/>
      <c r="H44" s="66"/>
      <c r="K44" s="23"/>
      <c r="L44" s="24"/>
      <c r="M44" s="25"/>
      <c r="N44" s="26"/>
      <c r="O44" s="25"/>
      <c r="P44" s="27"/>
      <c r="Q44" s="27"/>
      <c r="R44" s="27"/>
      <c r="S44" s="27"/>
      <c r="T44" s="28"/>
    </row>
    <row r="45" spans="4:20" ht="14.25" x14ac:dyDescent="0.2">
      <c r="K45" s="29"/>
      <c r="L45" s="48"/>
      <c r="M45" s="49"/>
      <c r="N45" s="50"/>
      <c r="O45" s="25"/>
      <c r="P45" s="51"/>
      <c r="Q45" s="51"/>
      <c r="R45" s="51"/>
      <c r="S45" s="51"/>
      <c r="T45" s="34"/>
    </row>
    <row r="47" spans="4:20" ht="14.25" x14ac:dyDescent="0.2">
      <c r="L47" s="40"/>
      <c r="M47" s="40" t="s">
        <v>12</v>
      </c>
      <c r="N47" s="54" t="s">
        <v>52</v>
      </c>
      <c r="P47" s="40"/>
      <c r="Q47" s="40"/>
      <c r="R47" s="53" t="s">
        <v>13</v>
      </c>
      <c r="S47" s="54">
        <v>210</v>
      </c>
    </row>
    <row r="48" spans="4:20" ht="12" thickBot="1" x14ac:dyDescent="0.25">
      <c r="K48" s="42"/>
      <c r="L48" s="42"/>
      <c r="M48" s="42"/>
      <c r="N48" s="42"/>
      <c r="O48" s="42"/>
      <c r="P48" s="42"/>
      <c r="Q48" s="42"/>
      <c r="R48" s="55"/>
      <c r="S48" s="55"/>
      <c r="T48" s="42"/>
    </row>
    <row r="49" spans="11:20" ht="12.75" thickTop="1" x14ac:dyDescent="0.2">
      <c r="K49" s="11"/>
      <c r="L49" s="43"/>
      <c r="N49" s="44"/>
      <c r="O49" s="44" t="s">
        <v>4</v>
      </c>
      <c r="P49" s="44"/>
      <c r="Q49" s="44"/>
      <c r="R49" s="56" t="s">
        <v>14</v>
      </c>
      <c r="S49" s="57"/>
      <c r="T49" s="12"/>
    </row>
    <row r="50" spans="11:20" ht="12.75" thickBot="1" x14ac:dyDescent="0.25">
      <c r="K50" s="17"/>
      <c r="L50" s="45" t="s">
        <v>6</v>
      </c>
      <c r="M50" s="46"/>
      <c r="N50" s="47" t="s">
        <v>15</v>
      </c>
      <c r="O50" s="47" t="s">
        <v>9</v>
      </c>
      <c r="P50" s="47" t="s">
        <v>10</v>
      </c>
      <c r="Q50" s="47" t="s">
        <v>11</v>
      </c>
      <c r="R50" s="58" t="s">
        <v>10</v>
      </c>
      <c r="S50" s="58" t="s">
        <v>11</v>
      </c>
      <c r="T50" s="22"/>
    </row>
    <row r="51" spans="11:20" ht="15" thickTop="1" x14ac:dyDescent="0.2">
      <c r="K51" s="23"/>
      <c r="L51" s="24" t="s">
        <v>63</v>
      </c>
      <c r="M51" s="25">
        <v>31</v>
      </c>
      <c r="N51" s="26" t="s">
        <v>21</v>
      </c>
      <c r="O51" s="61" t="s">
        <v>22</v>
      </c>
      <c r="P51" s="27"/>
      <c r="Q51" s="27"/>
      <c r="R51" s="27"/>
      <c r="S51" s="27">
        <v>596</v>
      </c>
      <c r="T51" s="28"/>
    </row>
    <row r="52" spans="11:20" ht="14.25" x14ac:dyDescent="0.2">
      <c r="K52" s="23"/>
      <c r="L52" s="24"/>
      <c r="M52" s="25"/>
      <c r="N52" s="26"/>
      <c r="O52" s="25"/>
      <c r="P52" s="27"/>
      <c r="Q52" s="27"/>
      <c r="R52" s="27"/>
      <c r="S52" s="27"/>
      <c r="T52" s="28"/>
    </row>
    <row r="53" spans="11:20" ht="14.25" x14ac:dyDescent="0.2">
      <c r="K53" s="29"/>
      <c r="L53" s="48"/>
      <c r="M53" s="49"/>
      <c r="N53" s="50"/>
      <c r="O53" s="25"/>
      <c r="P53" s="51"/>
      <c r="Q53" s="51"/>
      <c r="R53" s="51"/>
      <c r="S53" s="51"/>
      <c r="T53" s="34"/>
    </row>
    <row r="54" spans="11:20" x14ac:dyDescent="0.2">
      <c r="R54" s="52"/>
      <c r="S54" s="52"/>
    </row>
    <row r="55" spans="11:20" ht="14.25" x14ac:dyDescent="0.2">
      <c r="L55" s="40"/>
      <c r="M55" s="40" t="s">
        <v>12</v>
      </c>
      <c r="N55" s="54" t="s">
        <v>61</v>
      </c>
      <c r="P55" s="40"/>
      <c r="Q55" s="40"/>
      <c r="R55" s="53" t="s">
        <v>13</v>
      </c>
      <c r="S55" s="54">
        <v>310</v>
      </c>
    </row>
    <row r="56" spans="11:20" ht="12" thickBot="1" x14ac:dyDescent="0.25">
      <c r="K56" s="42"/>
      <c r="L56" s="42"/>
      <c r="M56" s="42"/>
      <c r="N56" s="42"/>
      <c r="O56" s="42"/>
      <c r="P56" s="42"/>
      <c r="Q56" s="42"/>
      <c r="R56" s="55"/>
      <c r="S56" s="55"/>
      <c r="T56" s="42"/>
    </row>
    <row r="57" spans="11:20" ht="12.75" thickTop="1" x14ac:dyDescent="0.2">
      <c r="K57" s="11"/>
      <c r="L57" s="43"/>
      <c r="N57" s="44"/>
      <c r="O57" s="44" t="s">
        <v>4</v>
      </c>
      <c r="P57" s="44"/>
      <c r="Q57" s="44"/>
      <c r="R57" s="56" t="s">
        <v>14</v>
      </c>
      <c r="S57" s="57"/>
      <c r="T57" s="12"/>
    </row>
    <row r="58" spans="11:20" ht="12.75" thickBot="1" x14ac:dyDescent="0.25">
      <c r="K58" s="17"/>
      <c r="L58" s="45" t="s">
        <v>6</v>
      </c>
      <c r="M58" s="46"/>
      <c r="N58" s="47" t="s">
        <v>15</v>
      </c>
      <c r="O58" s="47" t="s">
        <v>9</v>
      </c>
      <c r="P58" s="47" t="s">
        <v>10</v>
      </c>
      <c r="Q58" s="47" t="s">
        <v>11</v>
      </c>
      <c r="R58" s="58" t="s">
        <v>10</v>
      </c>
      <c r="S58" s="58" t="s">
        <v>11</v>
      </c>
      <c r="T58" s="22"/>
    </row>
    <row r="59" spans="11:20" ht="15" thickTop="1" x14ac:dyDescent="0.2">
      <c r="K59" s="23"/>
      <c r="L59" s="24" t="s">
        <v>63</v>
      </c>
      <c r="M59" s="25">
        <v>31</v>
      </c>
      <c r="N59" s="26" t="s">
        <v>21</v>
      </c>
      <c r="O59" s="61" t="s">
        <v>22</v>
      </c>
      <c r="P59" s="27"/>
      <c r="Q59" s="27"/>
      <c r="R59" s="27"/>
      <c r="S59" s="27">
        <v>14886</v>
      </c>
      <c r="T59" s="28"/>
    </row>
    <row r="60" spans="11:20" ht="14.25" x14ac:dyDescent="0.2">
      <c r="K60" s="23"/>
      <c r="L60" s="24"/>
      <c r="M60" s="25">
        <v>31</v>
      </c>
      <c r="N60" s="26"/>
      <c r="O60" s="25" t="s">
        <v>73</v>
      </c>
      <c r="P60" s="27"/>
      <c r="Q60" s="27">
        <f>H20</f>
        <v>5424</v>
      </c>
      <c r="R60" s="27"/>
      <c r="S60" s="27">
        <f>S59+Q60</f>
        <v>20310</v>
      </c>
      <c r="T60" s="28"/>
    </row>
    <row r="61" spans="11:20" ht="14.25" x14ac:dyDescent="0.2">
      <c r="K61" s="29"/>
      <c r="L61" s="48"/>
      <c r="M61" s="49">
        <v>31</v>
      </c>
      <c r="N61" s="50"/>
      <c r="O61" s="25" t="s">
        <v>73</v>
      </c>
      <c r="P61" s="113">
        <f>G21</f>
        <v>3400</v>
      </c>
      <c r="Q61" s="51"/>
      <c r="R61" s="51"/>
      <c r="S61" s="51">
        <f>S60-P61</f>
        <v>16910</v>
      </c>
      <c r="T61" s="34"/>
    </row>
    <row r="63" spans="11:20" ht="14.25" x14ac:dyDescent="0.2">
      <c r="L63" s="40"/>
      <c r="M63" s="40" t="s">
        <v>12</v>
      </c>
      <c r="N63" s="54" t="s">
        <v>62</v>
      </c>
      <c r="P63" s="40"/>
      <c r="Q63" s="40"/>
      <c r="R63" s="53" t="s">
        <v>13</v>
      </c>
      <c r="S63" s="41">
        <v>320</v>
      </c>
    </row>
    <row r="64" spans="11:20" ht="12" thickBot="1" x14ac:dyDescent="0.25">
      <c r="K64" s="42"/>
      <c r="L64" s="42"/>
      <c r="M64" s="42"/>
      <c r="N64" s="42"/>
      <c r="O64" s="42"/>
      <c r="P64" s="42"/>
      <c r="Q64" s="42"/>
      <c r="R64" s="55"/>
      <c r="S64" s="55"/>
      <c r="T64" s="42"/>
    </row>
    <row r="65" spans="11:20" ht="12.75" thickTop="1" x14ac:dyDescent="0.2">
      <c r="K65" s="11"/>
      <c r="L65" s="43"/>
      <c r="N65" s="44"/>
      <c r="O65" s="44" t="s">
        <v>4</v>
      </c>
      <c r="P65" s="44"/>
      <c r="Q65" s="44"/>
      <c r="R65" s="56" t="s">
        <v>14</v>
      </c>
      <c r="S65" s="57"/>
      <c r="T65" s="12"/>
    </row>
    <row r="66" spans="11:20" ht="12.75" thickBot="1" x14ac:dyDescent="0.25">
      <c r="K66" s="17"/>
      <c r="L66" s="45" t="s">
        <v>6</v>
      </c>
      <c r="M66" s="46"/>
      <c r="N66" s="47" t="s">
        <v>15</v>
      </c>
      <c r="O66" s="47" t="s">
        <v>9</v>
      </c>
      <c r="P66" s="47" t="s">
        <v>10</v>
      </c>
      <c r="Q66" s="47" t="s">
        <v>11</v>
      </c>
      <c r="R66" s="58" t="s">
        <v>10</v>
      </c>
      <c r="S66" s="58" t="s">
        <v>11</v>
      </c>
      <c r="T66" s="22"/>
    </row>
    <row r="67" spans="11:20" ht="15" thickTop="1" x14ac:dyDescent="0.2">
      <c r="K67" s="23"/>
      <c r="L67" s="24" t="s">
        <v>63</v>
      </c>
      <c r="M67" s="25">
        <v>31</v>
      </c>
      <c r="N67" s="26" t="s">
        <v>21</v>
      </c>
      <c r="O67" s="61" t="s">
        <v>22</v>
      </c>
      <c r="P67" s="27"/>
      <c r="Q67" s="27"/>
      <c r="R67" s="27">
        <v>3400</v>
      </c>
      <c r="S67" s="27"/>
      <c r="T67" s="28"/>
    </row>
    <row r="68" spans="11:20" ht="14.25" x14ac:dyDescent="0.2">
      <c r="K68" s="23"/>
      <c r="L68" s="24"/>
      <c r="M68" s="25">
        <v>31</v>
      </c>
      <c r="N68" s="26"/>
      <c r="O68" s="25" t="s">
        <v>73</v>
      </c>
      <c r="P68" s="27"/>
      <c r="Q68" s="27">
        <v>3400</v>
      </c>
      <c r="R68" s="27">
        <f>R67-Q68</f>
        <v>0</v>
      </c>
      <c r="S68" s="27">
        <v>0</v>
      </c>
      <c r="T68" s="28"/>
    </row>
    <row r="69" spans="11:20" ht="14.25" x14ac:dyDescent="0.2">
      <c r="K69" s="29"/>
      <c r="L69" s="48"/>
      <c r="M69" s="49"/>
      <c r="N69" s="50"/>
      <c r="O69" s="25"/>
      <c r="P69" s="51"/>
      <c r="Q69" s="51"/>
      <c r="R69" s="59"/>
      <c r="S69" s="59"/>
      <c r="T69" s="34"/>
    </row>
    <row r="71" spans="11:20" ht="14.25" x14ac:dyDescent="0.2">
      <c r="L71" s="40"/>
      <c r="M71" s="40" t="s">
        <v>12</v>
      </c>
      <c r="N71" s="54" t="s">
        <v>24</v>
      </c>
      <c r="P71" s="40"/>
      <c r="Q71" s="40"/>
      <c r="R71" s="53" t="s">
        <v>13</v>
      </c>
      <c r="S71" s="41">
        <v>330</v>
      </c>
    </row>
    <row r="72" spans="11:20" ht="12" thickBot="1" x14ac:dyDescent="0.25">
      <c r="K72" s="42"/>
      <c r="L72" s="42"/>
      <c r="M72" s="42"/>
      <c r="N72" s="42"/>
      <c r="O72" s="42"/>
      <c r="P72" s="42"/>
      <c r="Q72" s="42"/>
      <c r="R72" s="55"/>
      <c r="S72" s="55"/>
      <c r="T72" s="42"/>
    </row>
    <row r="73" spans="11:20" ht="12.75" thickTop="1" x14ac:dyDescent="0.2">
      <c r="K73" s="11"/>
      <c r="L73" s="43"/>
      <c r="N73" s="44"/>
      <c r="O73" s="44" t="s">
        <v>4</v>
      </c>
      <c r="P73" s="44"/>
      <c r="Q73" s="44"/>
      <c r="R73" s="56" t="s">
        <v>14</v>
      </c>
      <c r="S73" s="57"/>
      <c r="T73" s="12"/>
    </row>
    <row r="74" spans="11:20" ht="12.75" thickBot="1" x14ac:dyDescent="0.25">
      <c r="K74" s="17"/>
      <c r="L74" s="45" t="s">
        <v>6</v>
      </c>
      <c r="M74" s="46"/>
      <c r="N74" s="47" t="s">
        <v>15</v>
      </c>
      <c r="O74" s="47" t="s">
        <v>9</v>
      </c>
      <c r="P74" s="47" t="s">
        <v>10</v>
      </c>
      <c r="Q74" s="47" t="s">
        <v>11</v>
      </c>
      <c r="R74" s="58" t="s">
        <v>10</v>
      </c>
      <c r="S74" s="58" t="s">
        <v>11</v>
      </c>
      <c r="T74" s="22"/>
    </row>
    <row r="75" spans="11:20" ht="15" thickTop="1" x14ac:dyDescent="0.2">
      <c r="K75" s="23"/>
      <c r="L75" s="24" t="s">
        <v>63</v>
      </c>
      <c r="M75" s="25">
        <v>31</v>
      </c>
      <c r="N75" s="26"/>
      <c r="O75" s="25" t="s">
        <v>73</v>
      </c>
      <c r="P75" s="27"/>
      <c r="Q75" s="27">
        <f>H11</f>
        <v>8280</v>
      </c>
      <c r="R75" s="27"/>
      <c r="S75" s="27">
        <f>Q75</f>
        <v>8280</v>
      </c>
      <c r="T75" s="28"/>
    </row>
    <row r="76" spans="11:20" ht="14.25" x14ac:dyDescent="0.2">
      <c r="K76" s="23"/>
      <c r="L76" s="24"/>
      <c r="M76" s="25">
        <v>31</v>
      </c>
      <c r="N76" s="26"/>
      <c r="O76" s="25" t="s">
        <v>73</v>
      </c>
      <c r="P76" s="27">
        <f>G12</f>
        <v>2856</v>
      </c>
      <c r="Q76" s="27"/>
      <c r="R76" s="27"/>
      <c r="S76" s="27">
        <f>S75-P76</f>
        <v>5424</v>
      </c>
      <c r="T76" s="28"/>
    </row>
    <row r="77" spans="11:20" ht="14.25" x14ac:dyDescent="0.2">
      <c r="K77" s="29"/>
      <c r="L77" s="48"/>
      <c r="M77" s="49">
        <v>31</v>
      </c>
      <c r="N77" s="50"/>
      <c r="O77" s="25" t="s">
        <v>73</v>
      </c>
      <c r="P77" s="51">
        <f>G19</f>
        <v>5424</v>
      </c>
      <c r="Q77" s="51"/>
      <c r="R77" s="27"/>
      <c r="S77" s="27">
        <v>0</v>
      </c>
      <c r="T77" s="34"/>
    </row>
    <row r="79" spans="11:20" ht="14.25" x14ac:dyDescent="0.2">
      <c r="L79" s="40"/>
      <c r="M79" s="40" t="s">
        <v>12</v>
      </c>
      <c r="N79" s="54" t="s">
        <v>23</v>
      </c>
      <c r="P79" s="40"/>
      <c r="Q79" s="40"/>
      <c r="R79" s="53" t="s">
        <v>13</v>
      </c>
      <c r="S79" s="41">
        <v>410</v>
      </c>
    </row>
    <row r="80" spans="11:20" ht="12" thickBot="1" x14ac:dyDescent="0.25">
      <c r="K80" s="42"/>
      <c r="L80" s="42"/>
      <c r="M80" s="42"/>
      <c r="N80" s="42"/>
      <c r="O80" s="42"/>
      <c r="P80" s="42"/>
      <c r="Q80" s="42"/>
      <c r="R80" s="55"/>
      <c r="S80" s="55"/>
      <c r="T80" s="42"/>
    </row>
    <row r="81" spans="11:20" ht="12.75" thickTop="1" x14ac:dyDescent="0.2">
      <c r="K81" s="11"/>
      <c r="L81" s="43"/>
      <c r="N81" s="44"/>
      <c r="O81" s="44" t="s">
        <v>4</v>
      </c>
      <c r="P81" s="44"/>
      <c r="Q81" s="44"/>
      <c r="R81" s="56" t="s">
        <v>14</v>
      </c>
      <c r="S81" s="57"/>
      <c r="T81" s="12"/>
    </row>
    <row r="82" spans="11:20" ht="12.75" thickBot="1" x14ac:dyDescent="0.25">
      <c r="K82" s="17"/>
      <c r="L82" s="45" t="s">
        <v>6</v>
      </c>
      <c r="M82" s="46"/>
      <c r="N82" s="47" t="s">
        <v>15</v>
      </c>
      <c r="O82" s="47" t="s">
        <v>9</v>
      </c>
      <c r="P82" s="47" t="s">
        <v>10</v>
      </c>
      <c r="Q82" s="47" t="s">
        <v>11</v>
      </c>
      <c r="R82" s="58" t="s">
        <v>10</v>
      </c>
      <c r="S82" s="58" t="s">
        <v>11</v>
      </c>
      <c r="T82" s="22"/>
    </row>
    <row r="83" spans="11:20" ht="15" thickTop="1" x14ac:dyDescent="0.2">
      <c r="K83" s="23"/>
      <c r="L83" s="24" t="s">
        <v>63</v>
      </c>
      <c r="M83" s="25">
        <v>31</v>
      </c>
      <c r="N83" s="26"/>
      <c r="O83" s="61" t="s">
        <v>22</v>
      </c>
      <c r="P83" s="27"/>
      <c r="Q83" s="27"/>
      <c r="R83" s="27"/>
      <c r="S83" s="27">
        <v>8280</v>
      </c>
      <c r="T83" s="28"/>
    </row>
    <row r="84" spans="11:20" ht="14.25" x14ac:dyDescent="0.2">
      <c r="K84" s="23"/>
      <c r="L84" s="24"/>
      <c r="M84" s="25">
        <v>31</v>
      </c>
      <c r="N84" s="26"/>
      <c r="O84" s="25" t="s">
        <v>72</v>
      </c>
      <c r="P84" s="27">
        <f>G10</f>
        <v>8280</v>
      </c>
      <c r="R84" s="27">
        <v>0</v>
      </c>
      <c r="S84" s="27">
        <v>0</v>
      </c>
      <c r="T84" s="28"/>
    </row>
    <row r="85" spans="11:20" ht="14.25" x14ac:dyDescent="0.2">
      <c r="K85" s="29"/>
      <c r="L85" s="48"/>
      <c r="M85" s="49"/>
      <c r="N85" s="50"/>
      <c r="O85" s="25"/>
      <c r="P85" s="51"/>
      <c r="Q85" s="51"/>
      <c r="R85" s="59"/>
      <c r="S85" s="59"/>
      <c r="T85" s="34"/>
    </row>
    <row r="87" spans="11:20" ht="14.25" x14ac:dyDescent="0.2">
      <c r="L87" s="40"/>
      <c r="M87" s="40" t="s">
        <v>12</v>
      </c>
      <c r="N87" s="54" t="s">
        <v>25</v>
      </c>
      <c r="P87" s="40"/>
      <c r="Q87" s="40"/>
      <c r="R87" s="53" t="s">
        <v>13</v>
      </c>
      <c r="S87" s="41">
        <v>510</v>
      </c>
    </row>
    <row r="88" spans="11:20" ht="12" thickBot="1" x14ac:dyDescent="0.25">
      <c r="K88" s="42"/>
      <c r="L88" s="42"/>
      <c r="M88" s="42"/>
      <c r="N88" s="42"/>
      <c r="O88" s="42"/>
      <c r="P88" s="42"/>
      <c r="Q88" s="42"/>
      <c r="R88" s="55"/>
      <c r="S88" s="55"/>
      <c r="T88" s="42"/>
    </row>
    <row r="89" spans="11:20" ht="12.75" thickTop="1" x14ac:dyDescent="0.2">
      <c r="K89" s="11"/>
      <c r="L89" s="43"/>
      <c r="N89" s="44"/>
      <c r="O89" s="44" t="s">
        <v>4</v>
      </c>
      <c r="P89" s="44"/>
      <c r="Q89" s="44"/>
      <c r="R89" s="56" t="s">
        <v>14</v>
      </c>
      <c r="S89" s="57"/>
      <c r="T89" s="12"/>
    </row>
    <row r="90" spans="11:20" ht="12.75" thickBot="1" x14ac:dyDescent="0.25">
      <c r="K90" s="17"/>
      <c r="L90" s="45" t="s">
        <v>6</v>
      </c>
      <c r="M90" s="46"/>
      <c r="N90" s="47" t="s">
        <v>15</v>
      </c>
      <c r="O90" s="47" t="s">
        <v>9</v>
      </c>
      <c r="P90" s="47" t="s">
        <v>10</v>
      </c>
      <c r="Q90" s="47" t="s">
        <v>11</v>
      </c>
      <c r="R90" s="58" t="s">
        <v>10</v>
      </c>
      <c r="S90" s="58" t="s">
        <v>11</v>
      </c>
      <c r="T90" s="22"/>
    </row>
    <row r="91" spans="11:20" ht="15" thickTop="1" x14ac:dyDescent="0.2">
      <c r="K91" s="23"/>
      <c r="L91" s="24" t="s">
        <v>63</v>
      </c>
      <c r="M91" s="25">
        <v>31</v>
      </c>
      <c r="N91" s="26"/>
      <c r="O91" s="61" t="s">
        <v>22</v>
      </c>
      <c r="P91" s="27"/>
      <c r="Q91" s="27"/>
      <c r="R91" s="27">
        <v>910</v>
      </c>
      <c r="S91" s="27"/>
      <c r="T91" s="28"/>
    </row>
    <row r="92" spans="11:20" ht="14.25" x14ac:dyDescent="0.2">
      <c r="K92" s="23"/>
      <c r="L92" s="24"/>
      <c r="M92" s="25">
        <v>31</v>
      </c>
      <c r="N92" s="26"/>
      <c r="O92" s="25" t="s">
        <v>73</v>
      </c>
      <c r="P92" s="27"/>
      <c r="Q92" s="27">
        <v>910</v>
      </c>
      <c r="R92" s="27">
        <v>0</v>
      </c>
      <c r="S92" s="27">
        <v>0</v>
      </c>
      <c r="T92" s="28"/>
    </row>
    <row r="93" spans="11:20" ht="14.25" x14ac:dyDescent="0.2">
      <c r="K93" s="29"/>
      <c r="L93" s="48"/>
      <c r="M93" s="49"/>
      <c r="N93" s="50"/>
      <c r="O93" s="25"/>
      <c r="P93" s="51"/>
      <c r="Q93" s="51"/>
      <c r="R93" s="59"/>
      <c r="S93" s="59"/>
      <c r="T93" s="34"/>
    </row>
    <row r="95" spans="11:20" ht="14.25" x14ac:dyDescent="0.2">
      <c r="L95" s="40"/>
      <c r="M95" s="40" t="s">
        <v>12</v>
      </c>
      <c r="N95" s="54" t="s">
        <v>47</v>
      </c>
      <c r="P95" s="40"/>
      <c r="Q95" s="40"/>
      <c r="R95" s="53" t="s">
        <v>13</v>
      </c>
      <c r="S95" s="41">
        <v>520</v>
      </c>
    </row>
    <row r="96" spans="11:20" ht="12" thickBot="1" x14ac:dyDescent="0.25">
      <c r="K96" s="42"/>
      <c r="L96" s="42"/>
      <c r="M96" s="42"/>
      <c r="N96" s="42"/>
      <c r="O96" s="42"/>
      <c r="P96" s="42"/>
      <c r="Q96" s="42"/>
      <c r="R96" s="55"/>
      <c r="S96" s="55"/>
      <c r="T96" s="42"/>
    </row>
    <row r="97" spans="11:20" ht="12.75" thickTop="1" x14ac:dyDescent="0.2">
      <c r="K97" s="11"/>
      <c r="L97" s="43"/>
      <c r="N97" s="44"/>
      <c r="O97" s="44" t="s">
        <v>4</v>
      </c>
      <c r="P97" s="44"/>
      <c r="Q97" s="44"/>
      <c r="R97" s="56" t="s">
        <v>14</v>
      </c>
      <c r="S97" s="57"/>
      <c r="T97" s="12"/>
    </row>
    <row r="98" spans="11:20" ht="12.75" thickBot="1" x14ac:dyDescent="0.25">
      <c r="K98" s="17"/>
      <c r="L98" s="45" t="s">
        <v>6</v>
      </c>
      <c r="M98" s="46"/>
      <c r="N98" s="47" t="s">
        <v>15</v>
      </c>
      <c r="O98" s="47" t="s">
        <v>9</v>
      </c>
      <c r="P98" s="47" t="s">
        <v>10</v>
      </c>
      <c r="Q98" s="47" t="s">
        <v>11</v>
      </c>
      <c r="R98" s="58" t="s">
        <v>10</v>
      </c>
      <c r="S98" s="58" t="s">
        <v>11</v>
      </c>
      <c r="T98" s="22"/>
    </row>
    <row r="99" spans="11:20" ht="15" thickTop="1" x14ac:dyDescent="0.2">
      <c r="K99" s="23"/>
      <c r="L99" s="24" t="s">
        <v>63</v>
      </c>
      <c r="M99" s="25">
        <v>31</v>
      </c>
      <c r="N99" s="26"/>
      <c r="O99" s="61" t="s">
        <v>22</v>
      </c>
      <c r="P99" s="27"/>
      <c r="Q99" s="27"/>
      <c r="R99" s="27">
        <v>2</v>
      </c>
      <c r="S99" s="27"/>
      <c r="T99" s="28"/>
    </row>
    <row r="100" spans="11:20" ht="14.25" x14ac:dyDescent="0.2">
      <c r="K100" s="23"/>
      <c r="L100" s="24"/>
      <c r="M100" s="25">
        <v>31</v>
      </c>
      <c r="N100" s="26"/>
      <c r="O100" s="25" t="s">
        <v>73</v>
      </c>
      <c r="P100" s="27"/>
      <c r="Q100" s="27">
        <v>2</v>
      </c>
      <c r="R100" s="27">
        <v>0</v>
      </c>
      <c r="S100" s="27">
        <v>0</v>
      </c>
      <c r="T100" s="28"/>
    </row>
    <row r="101" spans="11:20" ht="14.25" x14ac:dyDescent="0.2">
      <c r="K101" s="29"/>
      <c r="L101" s="48"/>
      <c r="M101" s="49"/>
      <c r="N101" s="50"/>
      <c r="O101" s="25"/>
      <c r="P101" s="51"/>
      <c r="Q101" s="51"/>
      <c r="R101" s="59"/>
      <c r="S101" s="59"/>
      <c r="T101" s="34"/>
    </row>
    <row r="103" spans="11:20" ht="14.25" x14ac:dyDescent="0.2">
      <c r="L103" s="40"/>
      <c r="M103" s="40" t="s">
        <v>12</v>
      </c>
      <c r="N103" s="54" t="s">
        <v>19</v>
      </c>
      <c r="P103" s="40"/>
      <c r="Q103" s="40"/>
      <c r="R103" s="53" t="s">
        <v>13</v>
      </c>
      <c r="S103" s="41">
        <v>530</v>
      </c>
    </row>
    <row r="104" spans="11:20" ht="12" thickBot="1" x14ac:dyDescent="0.25">
      <c r="K104" s="42"/>
      <c r="L104" s="42"/>
      <c r="M104" s="42"/>
      <c r="N104" s="42"/>
      <c r="O104" s="42"/>
      <c r="P104" s="42"/>
      <c r="Q104" s="42"/>
      <c r="R104" s="55"/>
      <c r="S104" s="55"/>
      <c r="T104" s="42"/>
    </row>
    <row r="105" spans="11:20" ht="12.75" thickTop="1" x14ac:dyDescent="0.2">
      <c r="K105" s="11"/>
      <c r="L105" s="43"/>
      <c r="N105" s="44"/>
      <c r="O105" s="44" t="s">
        <v>4</v>
      </c>
      <c r="P105" s="44"/>
      <c r="Q105" s="44"/>
      <c r="R105" s="56" t="s">
        <v>14</v>
      </c>
      <c r="S105" s="57"/>
      <c r="T105" s="12"/>
    </row>
    <row r="106" spans="11:20" ht="12.75" thickBot="1" x14ac:dyDescent="0.25">
      <c r="K106" s="17"/>
      <c r="L106" s="45" t="s">
        <v>6</v>
      </c>
      <c r="M106" s="46"/>
      <c r="N106" s="47" t="s">
        <v>15</v>
      </c>
      <c r="O106" s="47" t="s">
        <v>9</v>
      </c>
      <c r="P106" s="47" t="s">
        <v>10</v>
      </c>
      <c r="Q106" s="47" t="s">
        <v>11</v>
      </c>
      <c r="R106" s="58" t="s">
        <v>10</v>
      </c>
      <c r="S106" s="58" t="s">
        <v>11</v>
      </c>
      <c r="T106" s="22"/>
    </row>
    <row r="107" spans="11:20" ht="15" thickTop="1" x14ac:dyDescent="0.2">
      <c r="K107" s="23"/>
      <c r="L107" s="24" t="s">
        <v>63</v>
      </c>
      <c r="M107" s="25">
        <v>31</v>
      </c>
      <c r="N107" s="26"/>
      <c r="O107" s="61" t="s">
        <v>22</v>
      </c>
      <c r="P107" s="27"/>
      <c r="Q107" s="27"/>
      <c r="R107" s="27">
        <v>130</v>
      </c>
      <c r="S107" s="27"/>
      <c r="T107" s="28"/>
    </row>
    <row r="108" spans="11:20" ht="14.25" x14ac:dyDescent="0.2">
      <c r="K108" s="23"/>
      <c r="L108" s="24"/>
      <c r="M108" s="25">
        <v>31</v>
      </c>
      <c r="N108" s="26"/>
      <c r="O108" s="25" t="s">
        <v>73</v>
      </c>
      <c r="P108" s="27"/>
      <c r="Q108" s="27">
        <v>130</v>
      </c>
      <c r="R108" s="27">
        <v>0</v>
      </c>
      <c r="S108" s="27">
        <v>0</v>
      </c>
      <c r="T108" s="28"/>
    </row>
    <row r="109" spans="11:20" ht="14.25" x14ac:dyDescent="0.2">
      <c r="K109" s="29"/>
      <c r="L109" s="48"/>
      <c r="M109" s="49"/>
      <c r="N109" s="50"/>
      <c r="O109" s="25"/>
      <c r="P109" s="51"/>
      <c r="Q109" s="51"/>
      <c r="R109" s="59"/>
      <c r="S109" s="59"/>
      <c r="T109" s="34"/>
    </row>
    <row r="111" spans="11:20" ht="14.25" x14ac:dyDescent="0.2">
      <c r="L111" s="40"/>
      <c r="M111" s="40" t="s">
        <v>12</v>
      </c>
      <c r="N111" s="54" t="s">
        <v>26</v>
      </c>
      <c r="P111" s="40"/>
      <c r="Q111" s="40"/>
      <c r="R111" s="53" t="s">
        <v>13</v>
      </c>
      <c r="S111" s="41">
        <v>540</v>
      </c>
    </row>
    <row r="112" spans="11:20" ht="12" thickBot="1" x14ac:dyDescent="0.25">
      <c r="K112" s="42"/>
      <c r="L112" s="42"/>
      <c r="M112" s="42"/>
      <c r="N112" s="42"/>
      <c r="O112" s="42"/>
      <c r="P112" s="42"/>
      <c r="Q112" s="42"/>
      <c r="R112" s="55"/>
      <c r="S112" s="55"/>
      <c r="T112" s="42"/>
    </row>
    <row r="113" spans="11:20" ht="12.75" thickTop="1" x14ac:dyDescent="0.2">
      <c r="K113" s="11"/>
      <c r="L113" s="43"/>
      <c r="N113" s="44"/>
      <c r="O113" s="44" t="s">
        <v>4</v>
      </c>
      <c r="P113" s="44"/>
      <c r="Q113" s="44"/>
      <c r="R113" s="56" t="s">
        <v>14</v>
      </c>
      <c r="S113" s="57"/>
      <c r="T113" s="12"/>
    </row>
    <row r="114" spans="11:20" ht="12.75" thickBot="1" x14ac:dyDescent="0.25">
      <c r="K114" s="17"/>
      <c r="L114" s="45" t="s">
        <v>6</v>
      </c>
      <c r="M114" s="46"/>
      <c r="N114" s="47" t="s">
        <v>15</v>
      </c>
      <c r="O114" s="47" t="s">
        <v>9</v>
      </c>
      <c r="P114" s="47" t="s">
        <v>10</v>
      </c>
      <c r="Q114" s="47" t="s">
        <v>11</v>
      </c>
      <c r="R114" s="58" t="s">
        <v>10</v>
      </c>
      <c r="S114" s="58" t="s">
        <v>11</v>
      </c>
      <c r="T114" s="22"/>
    </row>
    <row r="115" spans="11:20" ht="15" thickTop="1" x14ac:dyDescent="0.2">
      <c r="K115" s="23"/>
      <c r="L115" s="24" t="s">
        <v>63</v>
      </c>
      <c r="M115" s="25">
        <v>31</v>
      </c>
      <c r="N115" s="26"/>
      <c r="O115" s="61" t="s">
        <v>22</v>
      </c>
      <c r="P115" s="27"/>
      <c r="Q115" s="27"/>
      <c r="R115" s="27">
        <v>378</v>
      </c>
      <c r="S115" s="27"/>
      <c r="T115" s="28"/>
    </row>
    <row r="116" spans="11:20" ht="14.25" x14ac:dyDescent="0.2">
      <c r="K116" s="23"/>
      <c r="L116" s="24"/>
      <c r="M116" s="49">
        <v>31</v>
      </c>
      <c r="N116" s="26"/>
      <c r="O116" s="25" t="s">
        <v>73</v>
      </c>
      <c r="P116" s="27"/>
      <c r="Q116" s="27">
        <v>378</v>
      </c>
      <c r="R116" s="27">
        <v>0</v>
      </c>
      <c r="S116" s="27">
        <v>0</v>
      </c>
      <c r="T116" s="28"/>
    </row>
    <row r="117" spans="11:20" ht="14.25" x14ac:dyDescent="0.2">
      <c r="K117" s="29"/>
      <c r="L117" s="48"/>
      <c r="N117" s="50"/>
      <c r="O117" s="25"/>
      <c r="P117" s="51"/>
      <c r="Q117" s="51"/>
      <c r="R117" s="59"/>
      <c r="S117" s="59"/>
      <c r="T117" s="34"/>
    </row>
    <row r="119" spans="11:20" ht="14.25" x14ac:dyDescent="0.2">
      <c r="L119" s="40"/>
      <c r="M119" s="40" t="s">
        <v>12</v>
      </c>
      <c r="N119" s="54" t="s">
        <v>18</v>
      </c>
      <c r="P119" s="40"/>
      <c r="Q119" s="40"/>
      <c r="R119" s="53" t="s">
        <v>13</v>
      </c>
      <c r="S119" s="41">
        <v>550</v>
      </c>
    </row>
    <row r="120" spans="11:20" ht="12" thickBot="1" x14ac:dyDescent="0.25">
      <c r="K120" s="42"/>
      <c r="L120" s="42"/>
      <c r="M120" s="42"/>
      <c r="N120" s="42"/>
      <c r="O120" s="42"/>
      <c r="P120" s="42"/>
      <c r="Q120" s="42"/>
      <c r="R120" s="55"/>
      <c r="S120" s="55"/>
      <c r="T120" s="42"/>
    </row>
    <row r="121" spans="11:20" ht="12.75" thickTop="1" x14ac:dyDescent="0.2">
      <c r="K121" s="11"/>
      <c r="L121" s="43"/>
      <c r="N121" s="44"/>
      <c r="O121" s="44" t="s">
        <v>4</v>
      </c>
      <c r="P121" s="44"/>
      <c r="Q121" s="44"/>
      <c r="R121" s="56" t="s">
        <v>14</v>
      </c>
      <c r="S121" s="57"/>
      <c r="T121" s="12"/>
    </row>
    <row r="122" spans="11:20" ht="12.75" thickBot="1" x14ac:dyDescent="0.25">
      <c r="K122" s="17"/>
      <c r="L122" s="45" t="s">
        <v>6</v>
      </c>
      <c r="M122" s="46"/>
      <c r="N122" s="47" t="s">
        <v>15</v>
      </c>
      <c r="O122" s="47" t="s">
        <v>9</v>
      </c>
      <c r="P122" s="47" t="s">
        <v>10</v>
      </c>
      <c r="Q122" s="47" t="s">
        <v>11</v>
      </c>
      <c r="R122" s="58" t="s">
        <v>10</v>
      </c>
      <c r="S122" s="58" t="s">
        <v>11</v>
      </c>
      <c r="T122" s="22"/>
    </row>
    <row r="123" spans="11:20" ht="15" thickTop="1" x14ac:dyDescent="0.2">
      <c r="K123" s="23"/>
      <c r="L123" s="24" t="s">
        <v>63</v>
      </c>
      <c r="M123" s="25">
        <v>31</v>
      </c>
      <c r="N123" s="26"/>
      <c r="O123" s="61" t="s">
        <v>22</v>
      </c>
      <c r="P123" s="27"/>
      <c r="Q123" s="27"/>
      <c r="R123" s="27">
        <v>236</v>
      </c>
      <c r="S123" s="27"/>
      <c r="T123" s="28"/>
    </row>
    <row r="124" spans="11:20" ht="14.25" x14ac:dyDescent="0.2">
      <c r="K124" s="23"/>
      <c r="L124" s="24"/>
      <c r="M124" s="25">
        <v>31</v>
      </c>
      <c r="N124" s="26"/>
      <c r="O124" s="25" t="s">
        <v>73</v>
      </c>
      <c r="P124" s="27"/>
      <c r="Q124" s="27">
        <v>236</v>
      </c>
      <c r="R124" s="27">
        <v>0</v>
      </c>
      <c r="S124" s="27">
        <v>0</v>
      </c>
      <c r="T124" s="28"/>
    </row>
    <row r="125" spans="11:20" ht="14.25" x14ac:dyDescent="0.2">
      <c r="K125" s="29"/>
      <c r="L125" s="48"/>
      <c r="M125" s="49"/>
      <c r="N125" s="50"/>
      <c r="O125" s="25"/>
      <c r="P125" s="51"/>
      <c r="Q125" s="51"/>
      <c r="R125" s="59"/>
      <c r="S125" s="59"/>
      <c r="T125" s="34"/>
    </row>
    <row r="127" spans="11:20" ht="14.25" x14ac:dyDescent="0.2">
      <c r="L127" s="40"/>
      <c r="M127" s="40" t="s">
        <v>12</v>
      </c>
      <c r="N127" s="54" t="s">
        <v>27</v>
      </c>
      <c r="P127" s="40"/>
      <c r="Q127" s="40"/>
      <c r="R127" s="53" t="s">
        <v>13</v>
      </c>
      <c r="S127" s="41">
        <v>560</v>
      </c>
    </row>
    <row r="128" spans="11:20" ht="12" thickBot="1" x14ac:dyDescent="0.25">
      <c r="K128" s="42"/>
      <c r="L128" s="42"/>
      <c r="M128" s="42"/>
      <c r="N128" s="42"/>
      <c r="O128" s="42"/>
      <c r="P128" s="42"/>
      <c r="Q128" s="42"/>
      <c r="R128" s="55"/>
      <c r="S128" s="55"/>
      <c r="T128" s="42"/>
    </row>
    <row r="129" spans="11:20" ht="12.75" thickTop="1" x14ac:dyDescent="0.2">
      <c r="K129" s="11"/>
      <c r="L129" s="43"/>
      <c r="N129" s="44"/>
      <c r="O129" s="44" t="s">
        <v>4</v>
      </c>
      <c r="P129" s="44"/>
      <c r="Q129" s="44"/>
      <c r="R129" s="56" t="s">
        <v>14</v>
      </c>
      <c r="S129" s="57"/>
      <c r="T129" s="12"/>
    </row>
    <row r="130" spans="11:20" ht="12.75" thickBot="1" x14ac:dyDescent="0.25">
      <c r="K130" s="17"/>
      <c r="L130" s="45" t="s">
        <v>6</v>
      </c>
      <c r="M130" s="46"/>
      <c r="N130" s="47" t="s">
        <v>15</v>
      </c>
      <c r="O130" s="47" t="s">
        <v>9</v>
      </c>
      <c r="P130" s="47" t="s">
        <v>10</v>
      </c>
      <c r="Q130" s="47" t="s">
        <v>11</v>
      </c>
      <c r="R130" s="58" t="s">
        <v>10</v>
      </c>
      <c r="S130" s="58" t="s">
        <v>11</v>
      </c>
      <c r="T130" s="22"/>
    </row>
    <row r="131" spans="11:20" ht="15" thickTop="1" x14ac:dyDescent="0.2">
      <c r="K131" s="23"/>
      <c r="L131" s="24" t="s">
        <v>63</v>
      </c>
      <c r="M131" s="25">
        <v>31</v>
      </c>
      <c r="N131" s="26"/>
      <c r="O131" s="61" t="s">
        <v>22</v>
      </c>
      <c r="P131" s="27"/>
      <c r="Q131" s="27"/>
      <c r="R131" s="27">
        <v>1200</v>
      </c>
      <c r="S131" s="27"/>
      <c r="T131" s="28"/>
    </row>
    <row r="132" spans="11:20" ht="14.25" x14ac:dyDescent="0.2">
      <c r="K132" s="23"/>
      <c r="L132" s="24"/>
      <c r="M132" s="25">
        <v>31</v>
      </c>
      <c r="N132" s="26"/>
      <c r="O132" s="25" t="s">
        <v>73</v>
      </c>
      <c r="P132" s="27"/>
      <c r="Q132" s="27">
        <v>1200</v>
      </c>
      <c r="R132" s="27">
        <v>0</v>
      </c>
      <c r="S132" s="27">
        <v>0</v>
      </c>
      <c r="T132" s="28"/>
    </row>
    <row r="133" spans="11:20" ht="14.25" x14ac:dyDescent="0.2">
      <c r="K133" s="29"/>
      <c r="L133" s="48"/>
      <c r="M133" s="49"/>
      <c r="N133" s="50"/>
      <c r="O133" s="25"/>
      <c r="P133" s="51"/>
      <c r="Q133" s="51"/>
      <c r="R133" s="59"/>
      <c r="S133" s="59"/>
      <c r="T133" s="34"/>
    </row>
  </sheetData>
  <sheetProtection selectLockedCells="1"/>
  <mergeCells count="14">
    <mergeCell ref="D30:H30"/>
    <mergeCell ref="D31:H31"/>
    <mergeCell ref="D32:H32"/>
    <mergeCell ref="D34:F34"/>
    <mergeCell ref="D35:F35"/>
    <mergeCell ref="D36:F36"/>
    <mergeCell ref="D43:F43"/>
    <mergeCell ref="D44:F44"/>
    <mergeCell ref="D37:F37"/>
    <mergeCell ref="D38:F38"/>
    <mergeCell ref="D39:F39"/>
    <mergeCell ref="D40:F40"/>
    <mergeCell ref="D41:F41"/>
    <mergeCell ref="D42:F42"/>
  </mergeCells>
  <printOptions horizontalCentered="1"/>
  <pageMargins left="0.25" right="0.25" top="0.5" bottom="0.5" header="0.5" footer="0.5"/>
  <pageSetup scale="91" orientation="portrait" horizontalDpi="300" verticalDpi="300" r:id="rId1"/>
  <headerFooter alignWithMargins="0"/>
  <rowBreaks count="2" manualBreakCount="2">
    <brk id="46" max="16383" man="1"/>
    <brk id="86" max="19" man="1"/>
  </rowBreaks>
  <colBreaks count="1" manualBreakCount="1">
    <brk id="10" max="1048575" man="1"/>
  </col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1" ma:contentTypeDescription="Create a new document." ma:contentTypeScope="" ma:versionID="c167e483aa11bbe79309c207ec72a0f3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f56250c42b429c50c388591bb919c472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0CB8A94-61FC-4B56-A3BF-1A57614D1339}">
  <ds:schemaRefs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  <ds:schemaRef ds:uri="http://purl.org/dc/elements/1.1/"/>
    <ds:schemaRef ds:uri="d5bf7610-0a90-45dc-b926-1b234e6c6756"/>
    <ds:schemaRef ds:uri="http://schemas.openxmlformats.org/package/2006/metadata/core-properties"/>
    <ds:schemaRef ds:uri="d758baea-510e-4597-bb40-a09e4fc0f415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8AEDD01E-B3CC-46EA-A8BF-EDFE40325A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A0DC835-223A-4116-A7E5-76A40C60989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Work Sheets</vt:lpstr>
      <vt:lpstr>work 8-1 thru 8-2</vt:lpstr>
      <vt:lpstr>own 8-1 thru 8-2</vt:lpstr>
      <vt:lpstr>'own 8-1 thru 8-2'!Print_Area</vt:lpstr>
      <vt:lpstr>'work 8-1 thru 8-2'!Print_Area</vt:lpstr>
      <vt:lpstr>'Work Sheets'!Print_Area</vt:lpstr>
      <vt:lpstr>'Work Sheets'!Print_Titles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Kim Steffanina</dc:creator>
  <cp:lastModifiedBy>PATIL, DHRUV</cp:lastModifiedBy>
  <cp:lastPrinted>2019-12-05T11:54:53Z</cp:lastPrinted>
  <dcterms:created xsi:type="dcterms:W3CDTF">2007-09-30T22:00:19Z</dcterms:created>
  <dcterms:modified xsi:type="dcterms:W3CDTF">2023-12-14T17:21:29Z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12400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</Properties>
</file>