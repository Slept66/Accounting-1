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327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moonarea-my.sharepoint.com/personal/51102_moonarea_net/Documents/Accounting 1/Unit 9/"/>
    </mc:Choice>
  </mc:AlternateContent>
  <xr:revisionPtr revIDLastSave="217" documentId="8_{E5828B8A-E3F0-4293-8CA6-4A5012500920}" xr6:coauthVersionLast="47" xr6:coauthVersionMax="47" xr10:uidLastSave="{C3E2D11A-BB00-46F5-94B7-378511735423}"/>
  <bookViews>
    <workbookView xWindow="-110" yWindow="-110" windowWidth="19420" windowHeight="10420" activeTab="2" xr2:uid="{00000000-000D-0000-FFFF-FFFF00000000}"/>
  </bookViews>
  <sheets>
    <sheet name="9-2 Pur Jrnl" sheetId="21" r:id="rId1"/>
    <sheet name="9-3 AP Sub Led" sheetId="20" r:id="rId2"/>
    <sheet name="9-3 Gen Led" sheetId="19" r:id="rId3"/>
    <sheet name="9-4 Pet Csh Rpt" sheetId="18" r:id="rId4"/>
    <sheet name="9-4 Csh Pmt Jrnl" sheetId="17" r:id="rId5"/>
    <sheet name="9-5 Sched of AP" sheetId="16" r:id="rId6"/>
  </sheets>
  <externalReferences>
    <externalReference r:id="rId7"/>
    <externalReference r:id="rId8"/>
  </externalReferences>
  <definedNames>
    <definedName name="answer2" localSheetId="0">#REF!,#REF!,#REF!,#REF!,#REF!,#REF!,#REF!</definedName>
    <definedName name="answer2" localSheetId="1">#REF!,#REF!,#REF!,#REF!,#REF!,#REF!,#REF!</definedName>
    <definedName name="answer2" localSheetId="2">'9-3 Gen Led'!$B$9:$I$11,'9-3 Gen Led'!$B$18:$I$20,'9-3 Gen Led'!$B$27:$I$29,'9-3 Gen Led'!$B$36:$I$38,'9-3 Gen Led'!$B$56:$I$57,'9-3 Gen Led'!$B$64:$I$65,'9-3 Gen Led'!$B$72:$I$73</definedName>
    <definedName name="answer2" localSheetId="4">#REF!,#REF!,#REF!,#REF!,#REF!,#REF!,#REF!</definedName>
    <definedName name="answer2" localSheetId="3">'[1]General Ledger'!$B$9:$I$14,'[1]General Ledger'!$B$31:$I$34,'[1]General Ledger'!$B$41:$I$43,'[1]General Ledger'!$B$50:$I$51,'[1]General Ledger'!$B$60:$I$61,'[1]General Ledger'!$B$68:$I$69,'[1]General Ledger'!$B$75:$I$76</definedName>
    <definedName name="answer2" localSheetId="5">#REF!,#REF!,#REF!,#REF!,#REF!,#REF!,#REF!</definedName>
    <definedName name="answer2">#REF!,#REF!,#REF!,#REF!,#REF!,#REF!,#REF!</definedName>
    <definedName name="answer3">'[2]2-2 Accounts Receivable Ledger'!$B$7:$H$10,'[2]2-2 Accounts Receivable Ledger'!$B$17:$H$20,'[2]2-2 Accounts Receivable Ledger'!$B$27:$H$30</definedName>
    <definedName name="total2" localSheetId="0">#REF!,#REF!,#REF!,#REF!,#REF!,#REF!,#REF!</definedName>
    <definedName name="total2" localSheetId="1">#REF!,#REF!,#REF!,#REF!,#REF!,#REF!,#REF!</definedName>
    <definedName name="total2" localSheetId="2">'9-3 Gen Led'!#REF!,'9-3 Gen Led'!#REF!,'9-3 Gen Led'!#REF!,'9-3 Gen Led'!#REF!,'9-3 Gen Led'!$D$58:$I$58,'9-3 Gen Led'!$D$66:$I$66,'9-3 Gen Led'!$D$74:$I$74</definedName>
    <definedName name="total2" localSheetId="4">#REF!,#REF!,#REF!,#REF!,#REF!,#REF!,#REF!</definedName>
    <definedName name="total2" localSheetId="3">'[1]General Ledger'!$D$24:$I$24,'[1]General Ledger'!#REF!,'[1]General Ledger'!#REF!,'[1]General Ledger'!#REF!,'[1]General Ledger'!$D$62:$I$62,'[1]General Ledger'!#REF!,'[1]General Ledger'!#REF!</definedName>
    <definedName name="total2" localSheetId="5">#REF!,#REF!,#REF!,#REF!,#REF!,#REF!,#REF!</definedName>
    <definedName name="total2">#REF!,#REF!,#REF!,#REF!,#REF!,#REF!,#REF!</definedName>
    <definedName name="total3">'[2]2-2 Accounts Receivable Ledger'!$D$11:$H$11,'[2]2-2 Accounts Receivable Ledger'!$D$21:$H$21,'[2]2-2 Accounts Receivable Ledger'!$D$31:$H$31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21" i="20" l="1"/>
  <c r="H81" i="19"/>
  <c r="H19" i="18"/>
  <c r="H48" i="20"/>
  <c r="D15" i="16" l="1"/>
  <c r="H10" i="19"/>
  <c r="I38" i="19"/>
  <c r="K20" i="17"/>
  <c r="J20" i="17"/>
  <c r="I20" i="17"/>
  <c r="G20" i="17"/>
  <c r="H65" i="19"/>
  <c r="H73" i="19"/>
  <c r="H28" i="19"/>
  <c r="H20" i="19"/>
  <c r="H39" i="20"/>
  <c r="H19" i="19"/>
  <c r="H47" i="19"/>
  <c r="I57" i="19"/>
  <c r="I37" i="19"/>
  <c r="H46" i="19"/>
  <c r="G12" i="21"/>
  <c r="H16" i="18"/>
  <c r="K16" i="18" s="1"/>
  <c r="H17" i="18" l="1"/>
  <c r="K19" i="18" s="1"/>
  <c r="K20" i="18" s="1"/>
  <c r="A1" i="16"/>
  <c r="A1" i="17"/>
  <c r="A1" i="18"/>
  <c r="A1" i="19"/>
  <c r="A1" i="20"/>
  <c r="D50" i="19"/>
</calcChain>
</file>

<file path=xl/sharedStrings.xml><?xml version="1.0" encoding="utf-8"?>
<sst xmlns="http://schemas.openxmlformats.org/spreadsheetml/2006/main" count="333" uniqueCount="99">
  <si>
    <t>VENDOR</t>
  </si>
  <si>
    <t>VENDOR NO.</t>
  </si>
  <si>
    <t>POST.</t>
  </si>
  <si>
    <t>CREDIT</t>
  </si>
  <si>
    <t>DATE</t>
  </si>
  <si>
    <t>ITEM</t>
  </si>
  <si>
    <t>REF.</t>
  </si>
  <si>
    <t>DEBIT</t>
  </si>
  <si>
    <t>BALANCE</t>
  </si>
  <si>
    <t>Name:</t>
  </si>
  <si>
    <t>Oct</t>
  </si>
  <si>
    <t>Balance</t>
  </si>
  <si>
    <t>P</t>
  </si>
  <si>
    <t>Accounts Payable Ledger</t>
  </si>
  <si>
    <t>PAGE</t>
  </si>
  <si>
    <t>GENERAL</t>
  </si>
  <si>
    <t>ACCOUNT TITLE</t>
  </si>
  <si>
    <t>NO.</t>
  </si>
  <si>
    <t>PURCHASES JOURNAL</t>
  </si>
  <si>
    <t>PURCH.</t>
  </si>
  <si>
    <t>PURCHASES DR.</t>
  </si>
  <si>
    <t>ACCOUNT CREDITED</t>
  </si>
  <si>
    <t>ACCTS. PAY. CR.</t>
  </si>
  <si>
    <t>CASH PAYMENTS JOURNAL</t>
  </si>
  <si>
    <t>ACCOUNTS</t>
  </si>
  <si>
    <t>PURCHASES</t>
  </si>
  <si>
    <t>CK.</t>
  </si>
  <si>
    <t>PAYABLE</t>
  </si>
  <si>
    <t>DISCOUNT</t>
  </si>
  <si>
    <t>CASH</t>
  </si>
  <si>
    <t>NAME:</t>
  </si>
  <si>
    <t>page 254 textbook</t>
  </si>
  <si>
    <t>Pacific Supply</t>
  </si>
  <si>
    <t>Yeatman Designs</t>
  </si>
  <si>
    <t>Utilities Expense</t>
  </si>
  <si>
    <t>Purchases</t>
  </si>
  <si>
    <t>Supplies-Office</t>
  </si>
  <si>
    <t>Westland Supply</t>
  </si>
  <si>
    <t>Supplies-Store</t>
  </si>
  <si>
    <t>Miscellaneous Expense</t>
  </si>
  <si>
    <t>Cash Short and Over</t>
  </si>
  <si>
    <t>page 259 textbook</t>
  </si>
  <si>
    <t>Costal Company</t>
  </si>
  <si>
    <t>Grey Manufacturing</t>
  </si>
  <si>
    <t>ACCOUNT</t>
  </si>
  <si>
    <t>Cash</t>
  </si>
  <si>
    <t>ACCOUNT NO.</t>
  </si>
  <si>
    <t xml:space="preserve">Name:  </t>
  </si>
  <si>
    <t>ü</t>
  </si>
  <si>
    <t>Accounts Payable</t>
  </si>
  <si>
    <t>Purchases Discount</t>
  </si>
  <si>
    <t>page 266 textbook</t>
  </si>
  <si>
    <t>PETTY CASH REPORT</t>
  </si>
  <si>
    <t>Date:</t>
  </si>
  <si>
    <t>Custodian:</t>
  </si>
  <si>
    <t>Replenish</t>
  </si>
  <si>
    <t>Explanation</t>
  </si>
  <si>
    <t>Reconciliation</t>
  </si>
  <si>
    <t>Amount</t>
  </si>
  <si>
    <t>Fund Total</t>
  </si>
  <si>
    <t>Payments:</t>
  </si>
  <si>
    <t>Less:</t>
  </si>
  <si>
    <t>Total Payments</t>
  </si>
  <si>
    <t>Equals:</t>
  </si>
  <si>
    <t>Recorded amount on hand</t>
  </si>
  <si>
    <t>Actual Amount on hand</t>
  </si>
  <si>
    <t>Cash short (over)</t>
  </si>
  <si>
    <t>Amount to Replenish</t>
  </si>
  <si>
    <t>work together</t>
  </si>
  <si>
    <t>October 31, 20--</t>
  </si>
  <si>
    <t>John Sanderson</t>
  </si>
  <si>
    <t>Miscellaneous</t>
  </si>
  <si>
    <t xml:space="preserve">work together 9-2 thru 9-5 </t>
  </si>
  <si>
    <t>Dhruv Patil</t>
  </si>
  <si>
    <t>P162</t>
  </si>
  <si>
    <t>P163</t>
  </si>
  <si>
    <t>P164</t>
  </si>
  <si>
    <t>Coastal Company</t>
  </si>
  <si>
    <t>P10</t>
  </si>
  <si>
    <t>Total</t>
  </si>
  <si>
    <t>(5110) (2110)</t>
  </si>
  <si>
    <t>C521</t>
  </si>
  <si>
    <t>Grey Manufacture, Inc.</t>
  </si>
  <si>
    <t>C522</t>
  </si>
  <si>
    <t xml:space="preserve">Purcheses </t>
  </si>
  <si>
    <t>C523</t>
  </si>
  <si>
    <t>C524</t>
  </si>
  <si>
    <t>C525</t>
  </si>
  <si>
    <t>C526</t>
  </si>
  <si>
    <r>
      <t>(</t>
    </r>
    <r>
      <rPr>
        <b/>
        <sz val="12"/>
        <rFont val="Wingdings"/>
        <charset val="2"/>
      </rPr>
      <t>ü</t>
    </r>
    <r>
      <rPr>
        <b/>
        <sz val="12"/>
        <rFont val="Arial"/>
        <family val="2"/>
      </rPr>
      <t>)</t>
    </r>
  </si>
  <si>
    <t>(2110)</t>
  </si>
  <si>
    <t>(5120)</t>
  </si>
  <si>
    <t>(1110)</t>
  </si>
  <si>
    <t>Schedual Of Accounts Payable</t>
  </si>
  <si>
    <t>Pacific Supplies</t>
  </si>
  <si>
    <t>Westland Supplies</t>
  </si>
  <si>
    <t xml:space="preserve">Yeatman Designs </t>
  </si>
  <si>
    <t>Total Accounts Payable</t>
  </si>
  <si>
    <t>Golden Fabrics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</si>
</sst>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</numFmts>
  <fonts count="21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2"/>
      <name val="Arial"/>
      <family val="2"/>
    </font>
    <font>
      <b/>
      <sz val="11"/>
      <name val="Wingdings 2"/>
      <family val="1"/>
      <charset val="2"/>
    </font>
    <font>
      <sz val="12"/>
      <name val="Arial"/>
      <family val="2"/>
    </font>
    <font>
      <sz val="8"/>
      <name val="Arial"/>
      <family val="2"/>
    </font>
    <font>
      <sz val="6"/>
      <name val="Arial"/>
      <family val="2"/>
    </font>
    <font>
      <sz val="9"/>
      <name val="Arial"/>
      <family val="2"/>
    </font>
    <font>
      <sz val="11"/>
      <name val="Arial"/>
      <family val="2"/>
    </font>
    <font>
      <sz val="12"/>
      <name val="Times New Roman"/>
      <family val="1"/>
    </font>
    <font>
      <sz val="8"/>
      <color indexed="9"/>
      <name val="Arial"/>
      <family val="2"/>
    </font>
    <font>
      <b/>
      <sz val="12"/>
      <name val="Times New Roman"/>
      <family val="1"/>
    </font>
    <font>
      <sz val="10"/>
      <name val="Arial"/>
      <family val="2"/>
    </font>
    <font>
      <sz val="9"/>
      <name val="Arial"/>
      <family val="2"/>
    </font>
    <font>
      <sz val="6"/>
      <name val="Arial"/>
      <family val="2"/>
    </font>
    <font>
      <sz val="11"/>
      <name val="Wingdings"/>
      <charset val="2"/>
    </font>
    <font>
      <sz val="8"/>
      <color rgb="FFFF0000"/>
      <name val="Arial"/>
      <family val="2"/>
    </font>
    <font>
      <b/>
      <sz val="12"/>
      <name val="Wingdings"/>
      <charset val="2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4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</cellStyleXfs>
  <cellXfs count="187">
    <xf numFmtId="0" fontId="0" fillId="0" borderId="0" xfId="0"/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horizontal="right"/>
    </xf>
    <xf numFmtId="0" fontId="4" fillId="0" borderId="1" xfId="0" applyFont="1" applyBorder="1" applyAlignment="1" applyProtection="1">
      <alignment horizontal="left"/>
      <protection locked="0"/>
    </xf>
    <xf numFmtId="0" fontId="2" fillId="0" borderId="1" xfId="0" applyFont="1" applyBorder="1"/>
    <xf numFmtId="0" fontId="5" fillId="0" borderId="0" xfId="0" applyFont="1"/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/>
    <xf numFmtId="0" fontId="3" fillId="0" borderId="7" xfId="0" applyFont="1" applyBorder="1" applyAlignment="1">
      <alignment horizontal="left"/>
    </xf>
    <xf numFmtId="0" fontId="3" fillId="0" borderId="8" xfId="0" applyFont="1" applyBorder="1" applyAlignment="1">
      <alignment horizontal="left"/>
    </xf>
    <xf numFmtId="0" fontId="6" fillId="0" borderId="9" xfId="0" applyFont="1" applyBorder="1" applyAlignment="1" applyProtection="1">
      <alignment horizontal="center"/>
      <protection locked="0"/>
    </xf>
    <xf numFmtId="0" fontId="7" fillId="0" borderId="0" xfId="0" applyFont="1"/>
    <xf numFmtId="0" fontId="8" fillId="0" borderId="0" xfId="0" applyFont="1"/>
    <xf numFmtId="44" fontId="7" fillId="0" borderId="1" xfId="2" applyFont="1" applyBorder="1" applyAlignment="1">
      <alignment horizontal="centerContinuous"/>
    </xf>
    <xf numFmtId="0" fontId="7" fillId="0" borderId="1" xfId="0" applyFont="1" applyBorder="1" applyAlignment="1">
      <alignment horizontal="right"/>
    </xf>
    <xf numFmtId="0" fontId="7" fillId="0" borderId="2" xfId="0" applyFont="1" applyBorder="1"/>
    <xf numFmtId="0" fontId="7" fillId="0" borderId="10" xfId="0" applyFont="1" applyBorder="1"/>
    <xf numFmtId="0" fontId="7" fillId="0" borderId="3" xfId="0" applyFont="1" applyBorder="1"/>
    <xf numFmtId="0" fontId="7" fillId="0" borderId="4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/>
    <xf numFmtId="0" fontId="7" fillId="0" borderId="6" xfId="0" applyFont="1" applyBorder="1" applyAlignment="1">
      <alignment horizontal="centerContinuous"/>
    </xf>
    <xf numFmtId="0" fontId="7" fillId="0" borderId="13" xfId="0" applyFont="1" applyBorder="1" applyAlignment="1">
      <alignment horizontal="centerContinuous"/>
    </xf>
    <xf numFmtId="0" fontId="7" fillId="0" borderId="5" xfId="0" applyFont="1" applyBorder="1" applyAlignment="1">
      <alignment horizontal="center"/>
    </xf>
    <xf numFmtId="0" fontId="7" fillId="0" borderId="14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7" fillId="0" borderId="15" xfId="0" applyFont="1" applyBorder="1" applyAlignment="1">
      <alignment horizontal="center"/>
    </xf>
    <xf numFmtId="0" fontId="7" fillId="0" borderId="16" xfId="0" applyFont="1" applyBorder="1"/>
    <xf numFmtId="0" fontId="7" fillId="0" borderId="17" xfId="0" applyFont="1" applyBorder="1"/>
    <xf numFmtId="0" fontId="7" fillId="0" borderId="9" xfId="0" applyFont="1" applyBorder="1"/>
    <xf numFmtId="43" fontId="7" fillId="0" borderId="9" xfId="1" applyFont="1" applyBorder="1"/>
    <xf numFmtId="0" fontId="7" fillId="0" borderId="18" xfId="0" applyFont="1" applyBorder="1"/>
    <xf numFmtId="0" fontId="7" fillId="0" borderId="19" xfId="0" applyFont="1" applyBorder="1"/>
    <xf numFmtId="0" fontId="7" fillId="0" borderId="20" xfId="0" applyFont="1" applyBorder="1"/>
    <xf numFmtId="43" fontId="7" fillId="0" borderId="20" xfId="1" applyFont="1" applyBorder="1"/>
    <xf numFmtId="0" fontId="7" fillId="0" borderId="1" xfId="0" applyFont="1" applyBorder="1" applyAlignment="1">
      <alignment horizontal="centerContinuous"/>
    </xf>
    <xf numFmtId="16" fontId="7" fillId="0" borderId="17" xfId="0" applyNumberFormat="1" applyFont="1" applyBorder="1"/>
    <xf numFmtId="0" fontId="3" fillId="0" borderId="1" xfId="0" applyFont="1" applyBorder="1" applyAlignment="1">
      <alignment horizontal="left"/>
    </xf>
    <xf numFmtId="0" fontId="3" fillId="0" borderId="1" xfId="0" applyFont="1" applyBorder="1" applyAlignment="1">
      <alignment horizontal="right"/>
    </xf>
    <xf numFmtId="0" fontId="1" fillId="0" borderId="0" xfId="0" applyFont="1"/>
    <xf numFmtId="0" fontId="9" fillId="0" borderId="2" xfId="0" applyFont="1" applyBorder="1"/>
    <xf numFmtId="0" fontId="9" fillId="0" borderId="2" xfId="0" applyFont="1" applyBorder="1" applyAlignment="1">
      <alignment horizontal="center"/>
    </xf>
    <xf numFmtId="0" fontId="9" fillId="0" borderId="0" xfId="0" applyFont="1"/>
    <xf numFmtId="0" fontId="10" fillId="0" borderId="10" xfId="0" applyFont="1" applyBorder="1"/>
    <xf numFmtId="0" fontId="10" fillId="0" borderId="3" xfId="0" applyFont="1" applyBorder="1"/>
    <xf numFmtId="0" fontId="10" fillId="0" borderId="0" xfId="0" applyFont="1"/>
    <xf numFmtId="0" fontId="10" fillId="0" borderId="4" xfId="0" applyFont="1" applyBorder="1" applyAlignment="1">
      <alignment horizontal="center"/>
    </xf>
    <xf numFmtId="0" fontId="10" fillId="0" borderId="0" xfId="0" applyFont="1" applyAlignment="1">
      <alignment horizontal="centerContinuous" vertical="center"/>
    </xf>
    <xf numFmtId="0" fontId="10" fillId="0" borderId="1" xfId="0" applyFont="1" applyBorder="1" applyAlignment="1">
      <alignment horizontal="centerContinuous" vertical="center"/>
    </xf>
    <xf numFmtId="0" fontId="10" fillId="0" borderId="12" xfId="0" applyFont="1" applyBorder="1"/>
    <xf numFmtId="0" fontId="10" fillId="0" borderId="6" xfId="0" applyFont="1" applyBorder="1" applyAlignment="1">
      <alignment horizontal="centerContinuous"/>
    </xf>
    <xf numFmtId="0" fontId="10" fillId="0" borderId="13" xfId="0" applyFont="1" applyBorder="1" applyAlignment="1">
      <alignment horizontal="centerContinuous"/>
    </xf>
    <xf numFmtId="0" fontId="10" fillId="0" borderId="5" xfId="0" applyFont="1" applyBorder="1" applyAlignment="1">
      <alignment horizontal="center"/>
    </xf>
    <xf numFmtId="0" fontId="10" fillId="0" borderId="21" xfId="0" applyFont="1" applyBorder="1" applyAlignment="1">
      <alignment horizontal="center"/>
    </xf>
    <xf numFmtId="0" fontId="10" fillId="0" borderId="6" xfId="0" applyFont="1" applyBorder="1"/>
    <xf numFmtId="0" fontId="9" fillId="0" borderId="16" xfId="0" applyFont="1" applyBorder="1"/>
    <xf numFmtId="0" fontId="9" fillId="0" borderId="7" xfId="0" applyFont="1" applyBorder="1" applyAlignment="1">
      <alignment horizontal="left"/>
    </xf>
    <xf numFmtId="0" fontId="9" fillId="0" borderId="18" xfId="0" applyFont="1" applyBorder="1"/>
    <xf numFmtId="0" fontId="9" fillId="0" borderId="8" xfId="0" applyFont="1" applyBorder="1" applyAlignment="1">
      <alignment horizontal="left"/>
    </xf>
    <xf numFmtId="0" fontId="2" fillId="0" borderId="3" xfId="0" applyFont="1" applyBorder="1"/>
    <xf numFmtId="0" fontId="2" fillId="0" borderId="4" xfId="0" applyFont="1" applyBorder="1" applyAlignment="1">
      <alignment horizontal="center"/>
    </xf>
    <xf numFmtId="0" fontId="2" fillId="0" borderId="11" xfId="0" applyFont="1" applyBorder="1" applyAlignment="1">
      <alignment horizontal="center" vertical="center"/>
    </xf>
    <xf numFmtId="0" fontId="2" fillId="0" borderId="6" xfId="0" applyFont="1" applyBorder="1" applyAlignment="1">
      <alignment horizontal="centerContinuous"/>
    </xf>
    <xf numFmtId="0" fontId="2" fillId="0" borderId="13" xfId="0" applyFont="1" applyBorder="1" applyAlignment="1">
      <alignment horizontal="centerContinuous"/>
    </xf>
    <xf numFmtId="0" fontId="2" fillId="0" borderId="5" xfId="0" applyFont="1" applyBorder="1" applyAlignment="1">
      <alignment horizontal="center"/>
    </xf>
    <xf numFmtId="0" fontId="9" fillId="0" borderId="14" xfId="0" applyFont="1" applyBorder="1" applyAlignment="1">
      <alignment horizontal="center"/>
    </xf>
    <xf numFmtId="0" fontId="10" fillId="0" borderId="0" xfId="0" applyFont="1" applyAlignment="1">
      <alignment horizontal="center"/>
    </xf>
    <xf numFmtId="0" fontId="10" fillId="0" borderId="15" xfId="0" applyFont="1" applyBorder="1" applyAlignment="1">
      <alignment horizontal="center"/>
    </xf>
    <xf numFmtId="0" fontId="12" fillId="0" borderId="17" xfId="0" applyFont="1" applyBorder="1"/>
    <xf numFmtId="0" fontId="12" fillId="0" borderId="9" xfId="0" applyFont="1" applyBorder="1"/>
    <xf numFmtId="0" fontId="12" fillId="0" borderId="19" xfId="0" applyFont="1" applyBorder="1"/>
    <xf numFmtId="0" fontId="12" fillId="0" borderId="20" xfId="0" applyFont="1" applyBorder="1"/>
    <xf numFmtId="43" fontId="7" fillId="0" borderId="23" xfId="1" applyFont="1" applyBorder="1"/>
    <xf numFmtId="0" fontId="10" fillId="0" borderId="24" xfId="0" applyFont="1" applyBorder="1"/>
    <xf numFmtId="0" fontId="10" fillId="0" borderId="25" xfId="0" applyFont="1" applyBorder="1"/>
    <xf numFmtId="0" fontId="10" fillId="0" borderId="26" xfId="0" applyFont="1" applyBorder="1"/>
    <xf numFmtId="0" fontId="10" fillId="0" borderId="26" xfId="0" applyFont="1" applyBorder="1" applyAlignment="1">
      <alignment horizontal="center" vertical="center"/>
    </xf>
    <xf numFmtId="0" fontId="10" fillId="0" borderId="27" xfId="0" applyFont="1" applyBorder="1" applyAlignment="1">
      <alignment horizontal="center"/>
    </xf>
    <xf numFmtId="0" fontId="10" fillId="0" borderId="28" xfId="0" applyFont="1" applyBorder="1" applyAlignment="1">
      <alignment horizontal="center"/>
    </xf>
    <xf numFmtId="0" fontId="10" fillId="0" borderId="13" xfId="0" applyFont="1" applyBorder="1" applyAlignment="1">
      <alignment horizontal="center"/>
    </xf>
    <xf numFmtId="0" fontId="10" fillId="0" borderId="29" xfId="0" applyFont="1" applyBorder="1" applyAlignment="1">
      <alignment horizontal="center"/>
    </xf>
    <xf numFmtId="43" fontId="7" fillId="0" borderId="30" xfId="1" applyFont="1" applyBorder="1"/>
    <xf numFmtId="43" fontId="7" fillId="0" borderId="31" xfId="1" applyFont="1" applyBorder="1"/>
    <xf numFmtId="43" fontId="7" fillId="0" borderId="32" xfId="1" applyFont="1" applyBorder="1"/>
    <xf numFmtId="0" fontId="13" fillId="0" borderId="0" xfId="0" applyFont="1"/>
    <xf numFmtId="0" fontId="14" fillId="0" borderId="9" xfId="0" applyFont="1" applyBorder="1" applyAlignment="1">
      <alignment horizontal="center"/>
    </xf>
    <xf numFmtId="43" fontId="7" fillId="0" borderId="0" xfId="1" applyFont="1" applyBorder="1"/>
    <xf numFmtId="0" fontId="3" fillId="0" borderId="0" xfId="0" applyFont="1" applyAlignment="1">
      <alignment horizontal="left"/>
    </xf>
    <xf numFmtId="0" fontId="7" fillId="0" borderId="0" xfId="3" applyFont="1"/>
    <xf numFmtId="0" fontId="7" fillId="0" borderId="0" xfId="3" applyFont="1" applyAlignment="1">
      <alignment horizontal="right"/>
    </xf>
    <xf numFmtId="0" fontId="7" fillId="0" borderId="1" xfId="3" applyFont="1" applyBorder="1"/>
    <xf numFmtId="0" fontId="8" fillId="0" borderId="0" xfId="3" applyFont="1"/>
    <xf numFmtId="0" fontId="8" fillId="0" borderId="1" xfId="3" applyFont="1" applyBorder="1" applyAlignment="1">
      <alignment horizontal="right"/>
    </xf>
    <xf numFmtId="0" fontId="11" fillId="0" borderId="0" xfId="3" applyFont="1"/>
    <xf numFmtId="0" fontId="8" fillId="0" borderId="2" xfId="3" applyFont="1" applyBorder="1"/>
    <xf numFmtId="0" fontId="16" fillId="0" borderId="10" xfId="3" applyFont="1" applyBorder="1"/>
    <xf numFmtId="0" fontId="8" fillId="0" borderId="3" xfId="3" applyFont="1" applyBorder="1"/>
    <xf numFmtId="0" fontId="8" fillId="0" borderId="4" xfId="3" applyFont="1" applyBorder="1" applyAlignment="1">
      <alignment horizontal="center"/>
    </xf>
    <xf numFmtId="0" fontId="8" fillId="0" borderId="1" xfId="3" applyFont="1" applyBorder="1" applyAlignment="1">
      <alignment horizontal="centerContinuous"/>
    </xf>
    <xf numFmtId="0" fontId="8" fillId="0" borderId="16" xfId="3" applyFont="1" applyBorder="1" applyAlignment="1">
      <alignment horizontal="centerContinuous"/>
    </xf>
    <xf numFmtId="0" fontId="16" fillId="0" borderId="3" xfId="3" applyFont="1" applyBorder="1"/>
    <xf numFmtId="0" fontId="16" fillId="0" borderId="12" xfId="3" applyFont="1" applyBorder="1"/>
    <xf numFmtId="0" fontId="8" fillId="0" borderId="6" xfId="3" applyFont="1" applyBorder="1" applyAlignment="1">
      <alignment horizontal="centerContinuous"/>
    </xf>
    <xf numFmtId="0" fontId="8" fillId="0" borderId="13" xfId="3" applyFont="1" applyBorder="1" applyAlignment="1">
      <alignment horizontal="centerContinuous"/>
    </xf>
    <xf numFmtId="0" fontId="8" fillId="0" borderId="5" xfId="3" applyFont="1" applyBorder="1" applyAlignment="1">
      <alignment horizontal="center"/>
    </xf>
    <xf numFmtId="0" fontId="16" fillId="0" borderId="6" xfId="3" applyFont="1" applyBorder="1"/>
    <xf numFmtId="0" fontId="17" fillId="0" borderId="16" xfId="3" applyFont="1" applyBorder="1"/>
    <xf numFmtId="0" fontId="11" fillId="0" borderId="17" xfId="3" applyFont="1" applyBorder="1" applyProtection="1">
      <protection locked="0"/>
    </xf>
    <xf numFmtId="0" fontId="11" fillId="0" borderId="9" xfId="3" applyFont="1" applyBorder="1" applyAlignment="1" applyProtection="1">
      <alignment horizontal="center"/>
      <protection locked="0"/>
    </xf>
    <xf numFmtId="0" fontId="11" fillId="0" borderId="9" xfId="3" applyFont="1" applyBorder="1" applyProtection="1">
      <protection locked="0"/>
    </xf>
    <xf numFmtId="43" fontId="11" fillId="0" borderId="9" xfId="4" applyFont="1" applyBorder="1" applyProtection="1">
      <protection locked="0"/>
    </xf>
    <xf numFmtId="0" fontId="17" fillId="0" borderId="7" xfId="3" applyFont="1" applyBorder="1" applyAlignment="1">
      <alignment horizontal="left"/>
    </xf>
    <xf numFmtId="0" fontId="17" fillId="0" borderId="18" xfId="3" applyFont="1" applyBorder="1"/>
    <xf numFmtId="0" fontId="11" fillId="0" borderId="19" xfId="3" applyFont="1" applyBorder="1" applyProtection="1">
      <protection locked="0"/>
    </xf>
    <xf numFmtId="0" fontId="11" fillId="0" borderId="20" xfId="3" applyFont="1" applyBorder="1" applyAlignment="1" applyProtection="1">
      <alignment horizontal="center"/>
      <protection locked="0"/>
    </xf>
    <xf numFmtId="0" fontId="11" fillId="0" borderId="20" xfId="3" applyFont="1" applyBorder="1" applyProtection="1">
      <protection locked="0"/>
    </xf>
    <xf numFmtId="43" fontId="11" fillId="0" borderId="20" xfId="4" applyFont="1" applyBorder="1" applyProtection="1">
      <protection locked="0"/>
    </xf>
    <xf numFmtId="0" fontId="17" fillId="0" borderId="8" xfId="3" applyFont="1" applyBorder="1" applyAlignment="1">
      <alignment horizontal="left"/>
    </xf>
    <xf numFmtId="0" fontId="11" fillId="0" borderId="19" xfId="3" applyFont="1" applyBorder="1"/>
    <xf numFmtId="0" fontId="11" fillId="0" borderId="20" xfId="3" applyFont="1" applyBorder="1" applyAlignment="1">
      <alignment horizontal="center"/>
    </xf>
    <xf numFmtId="0" fontId="11" fillId="0" borderId="20" xfId="3" applyFont="1" applyBorder="1"/>
    <xf numFmtId="43" fontId="11" fillId="0" borderId="20" xfId="4" applyFont="1" applyBorder="1" applyProtection="1"/>
    <xf numFmtId="39" fontId="11" fillId="0" borderId="20" xfId="4" applyNumberFormat="1" applyFont="1" applyBorder="1" applyProtection="1"/>
    <xf numFmtId="0" fontId="5" fillId="0" borderId="1" xfId="3" applyFont="1" applyBorder="1" applyAlignment="1">
      <alignment horizontal="left"/>
    </xf>
    <xf numFmtId="0" fontId="7" fillId="0" borderId="0" xfId="3" applyFont="1" applyAlignment="1">
      <alignment horizontal="left"/>
    </xf>
    <xf numFmtId="43" fontId="11" fillId="0" borderId="20" xfId="4" applyFont="1" applyBorder="1" applyAlignment="1" applyProtection="1">
      <alignment horizontal="center"/>
      <protection locked="0"/>
    </xf>
    <xf numFmtId="0" fontId="18" fillId="0" borderId="9" xfId="3" applyFont="1" applyBorder="1" applyAlignment="1" applyProtection="1">
      <alignment horizontal="center"/>
      <protection locked="0"/>
    </xf>
    <xf numFmtId="0" fontId="19" fillId="0" borderId="0" xfId="3" applyFont="1"/>
    <xf numFmtId="0" fontId="3" fillId="0" borderId="1" xfId="0" applyFont="1" applyBorder="1" applyAlignment="1">
      <alignment horizontal="center"/>
    </xf>
    <xf numFmtId="0" fontId="3" fillId="0" borderId="33" xfId="0" applyFont="1" applyBorder="1"/>
    <xf numFmtId="0" fontId="3" fillId="0" borderId="34" xfId="0" applyFont="1" applyBorder="1"/>
    <xf numFmtId="0" fontId="3" fillId="0" borderId="35" xfId="0" applyFont="1" applyBorder="1"/>
    <xf numFmtId="0" fontId="3" fillId="0" borderId="36" xfId="0" applyFont="1" applyBorder="1"/>
    <xf numFmtId="0" fontId="3" fillId="0" borderId="1" xfId="0" applyFont="1" applyBorder="1"/>
    <xf numFmtId="0" fontId="3" fillId="0" borderId="17" xfId="0" applyFont="1" applyBorder="1"/>
    <xf numFmtId="0" fontId="3" fillId="0" borderId="28" xfId="0" applyFont="1" applyBorder="1"/>
    <xf numFmtId="0" fontId="3" fillId="0" borderId="28" xfId="0" applyFont="1" applyBorder="1" applyAlignment="1">
      <alignment horizontal="center"/>
    </xf>
    <xf numFmtId="0" fontId="3" fillId="0" borderId="30" xfId="0" applyFont="1" applyBorder="1"/>
    <xf numFmtId="0" fontId="3" fillId="0" borderId="17" xfId="0" applyFont="1" applyBorder="1" applyAlignment="1">
      <alignment horizontal="center"/>
    </xf>
    <xf numFmtId="0" fontId="3" fillId="2" borderId="0" xfId="0" applyFont="1" applyFill="1"/>
    <xf numFmtId="43" fontId="3" fillId="0" borderId="34" xfId="1" applyFont="1" applyBorder="1" applyAlignment="1"/>
    <xf numFmtId="164" fontId="3" fillId="2" borderId="34" xfId="0" applyNumberFormat="1" applyFont="1" applyFill="1" applyBorder="1"/>
    <xf numFmtId="0" fontId="3" fillId="2" borderId="28" xfId="0" applyFont="1" applyFill="1" applyBorder="1"/>
    <xf numFmtId="43" fontId="3" fillId="0" borderId="38" xfId="1" applyFont="1" applyBorder="1" applyAlignment="1">
      <alignment horizontal="center"/>
    </xf>
    <xf numFmtId="43" fontId="3" fillId="0" borderId="40" xfId="1" applyFont="1" applyBorder="1" applyAlignment="1">
      <alignment horizontal="left"/>
    </xf>
    <xf numFmtId="0" fontId="3" fillId="0" borderId="40" xfId="0" applyFont="1" applyBorder="1" applyAlignment="1">
      <alignment horizontal="left"/>
    </xf>
    <xf numFmtId="43" fontId="3" fillId="0" borderId="1" xfId="1" applyFont="1" applyBorder="1" applyAlignment="1"/>
    <xf numFmtId="43" fontId="3" fillId="0" borderId="0" xfId="1" applyFont="1" applyFill="1" applyBorder="1" applyAlignment="1"/>
    <xf numFmtId="43" fontId="3" fillId="0" borderId="28" xfId="0" applyNumberFormat="1" applyFont="1" applyBorder="1"/>
    <xf numFmtId="43" fontId="3" fillId="2" borderId="0" xfId="1" applyFont="1" applyFill="1" applyBorder="1" applyAlignment="1"/>
    <xf numFmtId="43" fontId="3" fillId="0" borderId="22" xfId="1" applyFont="1" applyBorder="1" applyAlignment="1"/>
    <xf numFmtId="43" fontId="3" fillId="0" borderId="41" xfId="1" applyFont="1" applyBorder="1"/>
    <xf numFmtId="0" fontId="4" fillId="0" borderId="36" xfId="0" applyFont="1" applyBorder="1"/>
    <xf numFmtId="0" fontId="2" fillId="0" borderId="30" xfId="0" applyFont="1" applyBorder="1"/>
    <xf numFmtId="0" fontId="1" fillId="0" borderId="1" xfId="0" applyFont="1" applyBorder="1"/>
    <xf numFmtId="0" fontId="1" fillId="0" borderId="17" xfId="0" applyFont="1" applyBorder="1"/>
    <xf numFmtId="0" fontId="5" fillId="0" borderId="0" xfId="0" applyFont="1" applyAlignment="1">
      <alignment horizontal="center"/>
    </xf>
    <xf numFmtId="43" fontId="3" fillId="0" borderId="42" xfId="1" applyFont="1" applyBorder="1"/>
    <xf numFmtId="43" fontId="3" fillId="0" borderId="45" xfId="1" applyFont="1" applyBorder="1"/>
    <xf numFmtId="49" fontId="14" fillId="0" borderId="9" xfId="0" applyNumberFormat="1" applyFont="1" applyBorder="1" applyAlignment="1">
      <alignment horizontal="center"/>
    </xf>
    <xf numFmtId="0" fontId="3" fillId="0" borderId="19" xfId="0" applyFont="1" applyBorder="1"/>
    <xf numFmtId="0" fontId="3" fillId="0" borderId="20" xfId="0" applyFont="1" applyBorder="1"/>
    <xf numFmtId="0" fontId="4" fillId="0" borderId="1" xfId="3" applyFont="1" applyBorder="1"/>
    <xf numFmtId="0" fontId="3" fillId="0" borderId="9" xfId="0" applyFont="1" applyBorder="1"/>
    <xf numFmtId="0" fontId="4" fillId="0" borderId="1" xfId="0" applyFont="1" applyBorder="1"/>
    <xf numFmtId="43" fontId="3" fillId="0" borderId="32" xfId="1" applyFont="1" applyBorder="1" applyAlignment="1">
      <alignment horizontal="center"/>
    </xf>
    <xf numFmtId="43" fontId="3" fillId="0" borderId="20" xfId="1" applyFont="1" applyBorder="1"/>
    <xf numFmtId="0" fontId="3" fillId="0" borderId="9" xfId="0" applyFont="1" applyBorder="1" applyAlignment="1">
      <alignment horizontal="left"/>
    </xf>
    <xf numFmtId="49" fontId="4" fillId="0" borderId="9" xfId="1" applyNumberFormat="1" applyFont="1" applyBorder="1" applyAlignment="1">
      <alignment horizontal="center"/>
    </xf>
    <xf numFmtId="49" fontId="4" fillId="0" borderId="30" xfId="1" applyNumberFormat="1" applyFont="1" applyBorder="1" applyAlignment="1">
      <alignment horizontal="center"/>
    </xf>
    <xf numFmtId="43" fontId="3" fillId="0" borderId="47" xfId="1" applyFont="1" applyBorder="1"/>
    <xf numFmtId="43" fontId="3" fillId="0" borderId="46" xfId="1" applyFont="1" applyBorder="1"/>
    <xf numFmtId="0" fontId="3" fillId="0" borderId="1" xfId="0" applyFont="1" applyBorder="1" applyAlignment="1">
      <alignment horizontal="left"/>
    </xf>
    <xf numFmtId="0" fontId="3" fillId="0" borderId="37" xfId="0" applyFont="1" applyBorder="1" applyAlignment="1">
      <alignment horizontal="left"/>
    </xf>
    <xf numFmtId="0" fontId="3" fillId="0" borderId="22" xfId="0" applyFont="1" applyBorder="1" applyAlignment="1">
      <alignment horizontal="left"/>
    </xf>
    <xf numFmtId="0" fontId="3" fillId="0" borderId="39" xfId="0" applyFont="1" applyBorder="1" applyAlignment="1">
      <alignment horizontal="left"/>
    </xf>
    <xf numFmtId="0" fontId="3" fillId="0" borderId="22" xfId="0" applyFont="1" applyBorder="1" applyAlignment="1">
      <alignment horizontal="center"/>
    </xf>
    <xf numFmtId="0" fontId="3" fillId="0" borderId="20" xfId="0" applyFont="1" applyBorder="1" applyAlignment="1">
      <alignment horizontal="left"/>
    </xf>
    <xf numFmtId="0" fontId="3" fillId="0" borderId="31" xfId="0" applyFont="1" applyBorder="1" applyAlignment="1">
      <alignment horizontal="left"/>
    </xf>
    <xf numFmtId="0" fontId="3" fillId="0" borderId="1" xfId="0" applyFont="1" applyBorder="1" applyAlignment="1">
      <alignment horizontal="center"/>
    </xf>
    <xf numFmtId="15" fontId="3" fillId="0" borderId="22" xfId="0" applyNumberFormat="1" applyFont="1" applyBorder="1" applyAlignment="1">
      <alignment horizontal="center"/>
    </xf>
    <xf numFmtId="0" fontId="3" fillId="0" borderId="43" xfId="0" applyFont="1" applyBorder="1" applyAlignment="1">
      <alignment horizontal="left"/>
    </xf>
    <xf numFmtId="0" fontId="3" fillId="0" borderId="44" xfId="0" applyFont="1" applyBorder="1" applyAlignment="1">
      <alignment horizontal="left"/>
    </xf>
  </cellXfs>
  <cellStyles count="5">
    <cellStyle name="Comma" xfId="1" builtinId="3"/>
    <cellStyle name="Comma 2" xfId="4" xr:uid="{00000000-0005-0000-0000-000001000000}"/>
    <cellStyle name="Currency" xfId="2" builtinId="4"/>
    <cellStyle name="Normal" xfId="0" builtinId="0"/>
    <cellStyle name="Normal 2" xfId="3" xr:uid="{00000000-0005-0000-0000-000004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209550</xdr:colOff>
      <xdr:row>15</xdr:row>
      <xdr:rowOff>114300</xdr:rowOff>
    </xdr:from>
    <xdr:to>
      <xdr:col>9</xdr:col>
      <xdr:colOff>600075</xdr:colOff>
      <xdr:row>15</xdr:row>
      <xdr:rowOff>114300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 noChangeShapeType="1"/>
        </xdr:cNvSpPr>
      </xdr:nvSpPr>
      <xdr:spPr bwMode="auto">
        <a:xfrm>
          <a:off x="6819900" y="2971800"/>
          <a:ext cx="600075" cy="0"/>
        </a:xfrm>
        <a:prstGeom prst="line">
          <a:avLst/>
        </a:prstGeom>
        <a:noFill/>
        <a:ln w="2857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8</xdr:col>
      <xdr:colOff>285750</xdr:colOff>
      <xdr:row>18</xdr:row>
      <xdr:rowOff>85725</xdr:rowOff>
    </xdr:from>
    <xdr:to>
      <xdr:col>9</xdr:col>
      <xdr:colOff>600075</xdr:colOff>
      <xdr:row>18</xdr:row>
      <xdr:rowOff>85725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>
          <a:spLocks noChangeShapeType="1"/>
        </xdr:cNvSpPr>
      </xdr:nvSpPr>
      <xdr:spPr bwMode="auto">
        <a:xfrm>
          <a:off x="6819900" y="3514725"/>
          <a:ext cx="600075" cy="0"/>
        </a:xfrm>
        <a:prstGeom prst="line">
          <a:avLst/>
        </a:prstGeom>
        <a:noFill/>
        <a:ln w="2857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8</xdr:col>
      <xdr:colOff>209550</xdr:colOff>
      <xdr:row>15</xdr:row>
      <xdr:rowOff>114300</xdr:rowOff>
    </xdr:from>
    <xdr:to>
      <xdr:col>9</xdr:col>
      <xdr:colOff>600075</xdr:colOff>
      <xdr:row>15</xdr:row>
      <xdr:rowOff>114300</xdr:rowOff>
    </xdr:to>
    <xdr:sp macro="" textlink="">
      <xdr:nvSpPr>
        <xdr:cNvPr id="4" name="Line 1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>
          <a:spLocks noChangeShapeType="1"/>
        </xdr:cNvSpPr>
      </xdr:nvSpPr>
      <xdr:spPr bwMode="auto">
        <a:xfrm>
          <a:off x="6819900" y="2971800"/>
          <a:ext cx="600075" cy="0"/>
        </a:xfrm>
        <a:prstGeom prst="line">
          <a:avLst/>
        </a:prstGeom>
        <a:noFill/>
        <a:ln w="2857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8</xdr:col>
      <xdr:colOff>285750</xdr:colOff>
      <xdr:row>18</xdr:row>
      <xdr:rowOff>85725</xdr:rowOff>
    </xdr:from>
    <xdr:to>
      <xdr:col>9</xdr:col>
      <xdr:colOff>600075</xdr:colOff>
      <xdr:row>18</xdr:row>
      <xdr:rowOff>85725</xdr:rowOff>
    </xdr:to>
    <xdr:sp macro="" textlink="">
      <xdr:nvSpPr>
        <xdr:cNvPr id="5" name="Line 2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>
          <a:spLocks noChangeShapeType="1"/>
        </xdr:cNvSpPr>
      </xdr:nvSpPr>
      <xdr:spPr bwMode="auto">
        <a:xfrm>
          <a:off x="6819900" y="3514725"/>
          <a:ext cx="600075" cy="0"/>
        </a:xfrm>
        <a:prstGeom prst="line">
          <a:avLst/>
        </a:prstGeom>
        <a:noFill/>
        <a:ln w="2857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s%20and%20Settings\HP_Owner\My%20Documents\School\Accounting\Accounting%201\Chapter%204\Chap%204%20Student%20Spreadsheets\Chap%204%20Source%20Document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s%20and%20Settings\HP_Owner\My%20Documents\School\Accounting\Accounting%202\Chapter%202\Chap%202%20Student%20Spreadsheets\2-2%20work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eneral Journal"/>
      <sheetName val="General Journal KEY"/>
      <sheetName val="General Ledger"/>
      <sheetName val="General Ledger KEY"/>
    </sheetNames>
    <sheetDataSet>
      <sheetData sheetId="0" refreshError="1"/>
      <sheetData sheetId="1" refreshError="1"/>
      <sheetData sheetId="2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2-2 Cash Receipts Journal"/>
      <sheetName val="2-2 General Ledger"/>
      <sheetName val="2-2 Accounts Receivable Ledger"/>
      <sheetName val="1-1 Key"/>
    </sheetNames>
    <sheetDataSet>
      <sheetData sheetId="0"/>
      <sheetData sheetId="1" refreshError="1"/>
      <sheetData sheetId="2">
        <row r="7">
          <cell r="B7" t="str">
            <v>Feb</v>
          </cell>
          <cell r="C7">
            <v>1</v>
          </cell>
          <cell r="D7" t="str">
            <v>Balance</v>
          </cell>
          <cell r="E7" t="str">
            <v>P</v>
          </cell>
          <cell r="H7">
            <v>3286</v>
          </cell>
        </row>
        <row r="11">
          <cell r="D11" t="str">
            <v>Check your total</v>
          </cell>
          <cell r="H11">
            <v>318</v>
          </cell>
        </row>
        <row r="17">
          <cell r="B17" t="str">
            <v>Feb</v>
          </cell>
          <cell r="C17">
            <v>1</v>
          </cell>
          <cell r="D17" t="str">
            <v>Balance</v>
          </cell>
          <cell r="E17" t="str">
            <v>P</v>
          </cell>
          <cell r="H17">
            <v>848</v>
          </cell>
        </row>
        <row r="21">
          <cell r="D21" t="str">
            <v>Check your total</v>
          </cell>
          <cell r="H21">
            <v>0</v>
          </cell>
        </row>
        <row r="27">
          <cell r="B27" t="str">
            <v>Feb</v>
          </cell>
          <cell r="C27">
            <v>1</v>
          </cell>
          <cell r="D27" t="str">
            <v>Balance</v>
          </cell>
          <cell r="E27" t="str">
            <v>P</v>
          </cell>
          <cell r="H27">
            <v>1590</v>
          </cell>
        </row>
        <row r="31">
          <cell r="D31" t="str">
            <v>Check your total</v>
          </cell>
          <cell r="H31">
            <v>318</v>
          </cell>
        </row>
      </sheetData>
      <sheetData sheetId="3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15"/>
  <sheetViews>
    <sheetView zoomScaleNormal="100" workbookViewId="0">
      <selection activeCell="J15" sqref="J15"/>
    </sheetView>
  </sheetViews>
  <sheetFormatPr defaultRowHeight="10" x14ac:dyDescent="0.2"/>
  <cols>
    <col min="1" max="1" width="2.7265625" style="1" customWidth="1"/>
    <col min="2" max="2" width="4.54296875" style="1" customWidth="1"/>
    <col min="3" max="3" width="4.453125" style="1" bestFit="1" customWidth="1"/>
    <col min="4" max="4" width="48.7265625" style="1" customWidth="1"/>
    <col min="5" max="5" width="7" style="1" customWidth="1"/>
    <col min="6" max="6" width="6.54296875" style="1" customWidth="1"/>
    <col min="7" max="7" width="14.1796875" style="1" customWidth="1"/>
    <col min="8" max="8" width="2.7265625" style="1" customWidth="1"/>
    <col min="9" max="256" width="9.1796875" style="1"/>
    <col min="257" max="257" width="2.7265625" style="1" customWidth="1"/>
    <col min="258" max="258" width="4.54296875" style="1" customWidth="1"/>
    <col min="259" max="259" width="3.81640625" style="1" bestFit="1" customWidth="1"/>
    <col min="260" max="260" width="48.7265625" style="1" customWidth="1"/>
    <col min="261" max="261" width="7" style="1" customWidth="1"/>
    <col min="262" max="262" width="6.54296875" style="1" customWidth="1"/>
    <col min="263" max="263" width="14.1796875" style="1" customWidth="1"/>
    <col min="264" max="264" width="2.7265625" style="1" customWidth="1"/>
    <col min="265" max="512" width="9.1796875" style="1"/>
    <col min="513" max="513" width="2.7265625" style="1" customWidth="1"/>
    <col min="514" max="514" width="4.54296875" style="1" customWidth="1"/>
    <col min="515" max="515" width="3.81640625" style="1" bestFit="1" customWidth="1"/>
    <col min="516" max="516" width="48.7265625" style="1" customWidth="1"/>
    <col min="517" max="517" width="7" style="1" customWidth="1"/>
    <col min="518" max="518" width="6.54296875" style="1" customWidth="1"/>
    <col min="519" max="519" width="14.1796875" style="1" customWidth="1"/>
    <col min="520" max="520" width="2.7265625" style="1" customWidth="1"/>
    <col min="521" max="768" width="9.1796875" style="1"/>
    <col min="769" max="769" width="2.7265625" style="1" customWidth="1"/>
    <col min="770" max="770" width="4.54296875" style="1" customWidth="1"/>
    <col min="771" max="771" width="3.81640625" style="1" bestFit="1" customWidth="1"/>
    <col min="772" max="772" width="48.7265625" style="1" customWidth="1"/>
    <col min="773" max="773" width="7" style="1" customWidth="1"/>
    <col min="774" max="774" width="6.54296875" style="1" customWidth="1"/>
    <col min="775" max="775" width="14.1796875" style="1" customWidth="1"/>
    <col min="776" max="776" width="2.7265625" style="1" customWidth="1"/>
    <col min="777" max="1024" width="9.1796875" style="1"/>
    <col min="1025" max="1025" width="2.7265625" style="1" customWidth="1"/>
    <col min="1026" max="1026" width="4.54296875" style="1" customWidth="1"/>
    <col min="1027" max="1027" width="3.81640625" style="1" bestFit="1" customWidth="1"/>
    <col min="1028" max="1028" width="48.7265625" style="1" customWidth="1"/>
    <col min="1029" max="1029" width="7" style="1" customWidth="1"/>
    <col min="1030" max="1030" width="6.54296875" style="1" customWidth="1"/>
    <col min="1031" max="1031" width="14.1796875" style="1" customWidth="1"/>
    <col min="1032" max="1032" width="2.7265625" style="1" customWidth="1"/>
    <col min="1033" max="1280" width="9.1796875" style="1"/>
    <col min="1281" max="1281" width="2.7265625" style="1" customWidth="1"/>
    <col min="1282" max="1282" width="4.54296875" style="1" customWidth="1"/>
    <col min="1283" max="1283" width="3.81640625" style="1" bestFit="1" customWidth="1"/>
    <col min="1284" max="1284" width="48.7265625" style="1" customWidth="1"/>
    <col min="1285" max="1285" width="7" style="1" customWidth="1"/>
    <col min="1286" max="1286" width="6.54296875" style="1" customWidth="1"/>
    <col min="1287" max="1287" width="14.1796875" style="1" customWidth="1"/>
    <col min="1288" max="1288" width="2.7265625" style="1" customWidth="1"/>
    <col min="1289" max="1536" width="9.1796875" style="1"/>
    <col min="1537" max="1537" width="2.7265625" style="1" customWidth="1"/>
    <col min="1538" max="1538" width="4.54296875" style="1" customWidth="1"/>
    <col min="1539" max="1539" width="3.81640625" style="1" bestFit="1" customWidth="1"/>
    <col min="1540" max="1540" width="48.7265625" style="1" customWidth="1"/>
    <col min="1541" max="1541" width="7" style="1" customWidth="1"/>
    <col min="1542" max="1542" width="6.54296875" style="1" customWidth="1"/>
    <col min="1543" max="1543" width="14.1796875" style="1" customWidth="1"/>
    <col min="1544" max="1544" width="2.7265625" style="1" customWidth="1"/>
    <col min="1545" max="1792" width="9.1796875" style="1"/>
    <col min="1793" max="1793" width="2.7265625" style="1" customWidth="1"/>
    <col min="1794" max="1794" width="4.54296875" style="1" customWidth="1"/>
    <col min="1795" max="1795" width="3.81640625" style="1" bestFit="1" customWidth="1"/>
    <col min="1796" max="1796" width="48.7265625" style="1" customWidth="1"/>
    <col min="1797" max="1797" width="7" style="1" customWidth="1"/>
    <col min="1798" max="1798" width="6.54296875" style="1" customWidth="1"/>
    <col min="1799" max="1799" width="14.1796875" style="1" customWidth="1"/>
    <col min="1800" max="1800" width="2.7265625" style="1" customWidth="1"/>
    <col min="1801" max="2048" width="9.1796875" style="1"/>
    <col min="2049" max="2049" width="2.7265625" style="1" customWidth="1"/>
    <col min="2050" max="2050" width="4.54296875" style="1" customWidth="1"/>
    <col min="2051" max="2051" width="3.81640625" style="1" bestFit="1" customWidth="1"/>
    <col min="2052" max="2052" width="48.7265625" style="1" customWidth="1"/>
    <col min="2053" max="2053" width="7" style="1" customWidth="1"/>
    <col min="2054" max="2054" width="6.54296875" style="1" customWidth="1"/>
    <col min="2055" max="2055" width="14.1796875" style="1" customWidth="1"/>
    <col min="2056" max="2056" width="2.7265625" style="1" customWidth="1"/>
    <col min="2057" max="2304" width="9.1796875" style="1"/>
    <col min="2305" max="2305" width="2.7265625" style="1" customWidth="1"/>
    <col min="2306" max="2306" width="4.54296875" style="1" customWidth="1"/>
    <col min="2307" max="2307" width="3.81640625" style="1" bestFit="1" customWidth="1"/>
    <col min="2308" max="2308" width="48.7265625" style="1" customWidth="1"/>
    <col min="2309" max="2309" width="7" style="1" customWidth="1"/>
    <col min="2310" max="2310" width="6.54296875" style="1" customWidth="1"/>
    <col min="2311" max="2311" width="14.1796875" style="1" customWidth="1"/>
    <col min="2312" max="2312" width="2.7265625" style="1" customWidth="1"/>
    <col min="2313" max="2560" width="9.1796875" style="1"/>
    <col min="2561" max="2561" width="2.7265625" style="1" customWidth="1"/>
    <col min="2562" max="2562" width="4.54296875" style="1" customWidth="1"/>
    <col min="2563" max="2563" width="3.81640625" style="1" bestFit="1" customWidth="1"/>
    <col min="2564" max="2564" width="48.7265625" style="1" customWidth="1"/>
    <col min="2565" max="2565" width="7" style="1" customWidth="1"/>
    <col min="2566" max="2566" width="6.54296875" style="1" customWidth="1"/>
    <col min="2567" max="2567" width="14.1796875" style="1" customWidth="1"/>
    <col min="2568" max="2568" width="2.7265625" style="1" customWidth="1"/>
    <col min="2569" max="2816" width="9.1796875" style="1"/>
    <col min="2817" max="2817" width="2.7265625" style="1" customWidth="1"/>
    <col min="2818" max="2818" width="4.54296875" style="1" customWidth="1"/>
    <col min="2819" max="2819" width="3.81640625" style="1" bestFit="1" customWidth="1"/>
    <col min="2820" max="2820" width="48.7265625" style="1" customWidth="1"/>
    <col min="2821" max="2821" width="7" style="1" customWidth="1"/>
    <col min="2822" max="2822" width="6.54296875" style="1" customWidth="1"/>
    <col min="2823" max="2823" width="14.1796875" style="1" customWidth="1"/>
    <col min="2824" max="2824" width="2.7265625" style="1" customWidth="1"/>
    <col min="2825" max="3072" width="9.1796875" style="1"/>
    <col min="3073" max="3073" width="2.7265625" style="1" customWidth="1"/>
    <col min="3074" max="3074" width="4.54296875" style="1" customWidth="1"/>
    <col min="3075" max="3075" width="3.81640625" style="1" bestFit="1" customWidth="1"/>
    <col min="3076" max="3076" width="48.7265625" style="1" customWidth="1"/>
    <col min="3077" max="3077" width="7" style="1" customWidth="1"/>
    <col min="3078" max="3078" width="6.54296875" style="1" customWidth="1"/>
    <col min="3079" max="3079" width="14.1796875" style="1" customWidth="1"/>
    <col min="3080" max="3080" width="2.7265625" style="1" customWidth="1"/>
    <col min="3081" max="3328" width="9.1796875" style="1"/>
    <col min="3329" max="3329" width="2.7265625" style="1" customWidth="1"/>
    <col min="3330" max="3330" width="4.54296875" style="1" customWidth="1"/>
    <col min="3331" max="3331" width="3.81640625" style="1" bestFit="1" customWidth="1"/>
    <col min="3332" max="3332" width="48.7265625" style="1" customWidth="1"/>
    <col min="3333" max="3333" width="7" style="1" customWidth="1"/>
    <col min="3334" max="3334" width="6.54296875" style="1" customWidth="1"/>
    <col min="3335" max="3335" width="14.1796875" style="1" customWidth="1"/>
    <col min="3336" max="3336" width="2.7265625" style="1" customWidth="1"/>
    <col min="3337" max="3584" width="9.1796875" style="1"/>
    <col min="3585" max="3585" width="2.7265625" style="1" customWidth="1"/>
    <col min="3586" max="3586" width="4.54296875" style="1" customWidth="1"/>
    <col min="3587" max="3587" width="3.81640625" style="1" bestFit="1" customWidth="1"/>
    <col min="3588" max="3588" width="48.7265625" style="1" customWidth="1"/>
    <col min="3589" max="3589" width="7" style="1" customWidth="1"/>
    <col min="3590" max="3590" width="6.54296875" style="1" customWidth="1"/>
    <col min="3591" max="3591" width="14.1796875" style="1" customWidth="1"/>
    <col min="3592" max="3592" width="2.7265625" style="1" customWidth="1"/>
    <col min="3593" max="3840" width="9.1796875" style="1"/>
    <col min="3841" max="3841" width="2.7265625" style="1" customWidth="1"/>
    <col min="3842" max="3842" width="4.54296875" style="1" customWidth="1"/>
    <col min="3843" max="3843" width="3.81640625" style="1" bestFit="1" customWidth="1"/>
    <col min="3844" max="3844" width="48.7265625" style="1" customWidth="1"/>
    <col min="3845" max="3845" width="7" style="1" customWidth="1"/>
    <col min="3846" max="3846" width="6.54296875" style="1" customWidth="1"/>
    <col min="3847" max="3847" width="14.1796875" style="1" customWidth="1"/>
    <col min="3848" max="3848" width="2.7265625" style="1" customWidth="1"/>
    <col min="3849" max="4096" width="9.1796875" style="1"/>
    <col min="4097" max="4097" width="2.7265625" style="1" customWidth="1"/>
    <col min="4098" max="4098" width="4.54296875" style="1" customWidth="1"/>
    <col min="4099" max="4099" width="3.81640625" style="1" bestFit="1" customWidth="1"/>
    <col min="4100" max="4100" width="48.7265625" style="1" customWidth="1"/>
    <col min="4101" max="4101" width="7" style="1" customWidth="1"/>
    <col min="4102" max="4102" width="6.54296875" style="1" customWidth="1"/>
    <col min="4103" max="4103" width="14.1796875" style="1" customWidth="1"/>
    <col min="4104" max="4104" width="2.7265625" style="1" customWidth="1"/>
    <col min="4105" max="4352" width="9.1796875" style="1"/>
    <col min="4353" max="4353" width="2.7265625" style="1" customWidth="1"/>
    <col min="4354" max="4354" width="4.54296875" style="1" customWidth="1"/>
    <col min="4355" max="4355" width="3.81640625" style="1" bestFit="1" customWidth="1"/>
    <col min="4356" max="4356" width="48.7265625" style="1" customWidth="1"/>
    <col min="4357" max="4357" width="7" style="1" customWidth="1"/>
    <col min="4358" max="4358" width="6.54296875" style="1" customWidth="1"/>
    <col min="4359" max="4359" width="14.1796875" style="1" customWidth="1"/>
    <col min="4360" max="4360" width="2.7265625" style="1" customWidth="1"/>
    <col min="4361" max="4608" width="9.1796875" style="1"/>
    <col min="4609" max="4609" width="2.7265625" style="1" customWidth="1"/>
    <col min="4610" max="4610" width="4.54296875" style="1" customWidth="1"/>
    <col min="4611" max="4611" width="3.81640625" style="1" bestFit="1" customWidth="1"/>
    <col min="4612" max="4612" width="48.7265625" style="1" customWidth="1"/>
    <col min="4613" max="4613" width="7" style="1" customWidth="1"/>
    <col min="4614" max="4614" width="6.54296875" style="1" customWidth="1"/>
    <col min="4615" max="4615" width="14.1796875" style="1" customWidth="1"/>
    <col min="4616" max="4616" width="2.7265625" style="1" customWidth="1"/>
    <col min="4617" max="4864" width="9.1796875" style="1"/>
    <col min="4865" max="4865" width="2.7265625" style="1" customWidth="1"/>
    <col min="4866" max="4866" width="4.54296875" style="1" customWidth="1"/>
    <col min="4867" max="4867" width="3.81640625" style="1" bestFit="1" customWidth="1"/>
    <col min="4868" max="4868" width="48.7265625" style="1" customWidth="1"/>
    <col min="4869" max="4869" width="7" style="1" customWidth="1"/>
    <col min="4870" max="4870" width="6.54296875" style="1" customWidth="1"/>
    <col min="4871" max="4871" width="14.1796875" style="1" customWidth="1"/>
    <col min="4872" max="4872" width="2.7265625" style="1" customWidth="1"/>
    <col min="4873" max="5120" width="9.1796875" style="1"/>
    <col min="5121" max="5121" width="2.7265625" style="1" customWidth="1"/>
    <col min="5122" max="5122" width="4.54296875" style="1" customWidth="1"/>
    <col min="5123" max="5123" width="3.81640625" style="1" bestFit="1" customWidth="1"/>
    <col min="5124" max="5124" width="48.7265625" style="1" customWidth="1"/>
    <col min="5125" max="5125" width="7" style="1" customWidth="1"/>
    <col min="5126" max="5126" width="6.54296875" style="1" customWidth="1"/>
    <col min="5127" max="5127" width="14.1796875" style="1" customWidth="1"/>
    <col min="5128" max="5128" width="2.7265625" style="1" customWidth="1"/>
    <col min="5129" max="5376" width="9.1796875" style="1"/>
    <col min="5377" max="5377" width="2.7265625" style="1" customWidth="1"/>
    <col min="5378" max="5378" width="4.54296875" style="1" customWidth="1"/>
    <col min="5379" max="5379" width="3.81640625" style="1" bestFit="1" customWidth="1"/>
    <col min="5380" max="5380" width="48.7265625" style="1" customWidth="1"/>
    <col min="5381" max="5381" width="7" style="1" customWidth="1"/>
    <col min="5382" max="5382" width="6.54296875" style="1" customWidth="1"/>
    <col min="5383" max="5383" width="14.1796875" style="1" customWidth="1"/>
    <col min="5384" max="5384" width="2.7265625" style="1" customWidth="1"/>
    <col min="5385" max="5632" width="9.1796875" style="1"/>
    <col min="5633" max="5633" width="2.7265625" style="1" customWidth="1"/>
    <col min="5634" max="5634" width="4.54296875" style="1" customWidth="1"/>
    <col min="5635" max="5635" width="3.81640625" style="1" bestFit="1" customWidth="1"/>
    <col min="5636" max="5636" width="48.7265625" style="1" customWidth="1"/>
    <col min="5637" max="5637" width="7" style="1" customWidth="1"/>
    <col min="5638" max="5638" width="6.54296875" style="1" customWidth="1"/>
    <col min="5639" max="5639" width="14.1796875" style="1" customWidth="1"/>
    <col min="5640" max="5640" width="2.7265625" style="1" customWidth="1"/>
    <col min="5641" max="5888" width="9.1796875" style="1"/>
    <col min="5889" max="5889" width="2.7265625" style="1" customWidth="1"/>
    <col min="5890" max="5890" width="4.54296875" style="1" customWidth="1"/>
    <col min="5891" max="5891" width="3.81640625" style="1" bestFit="1" customWidth="1"/>
    <col min="5892" max="5892" width="48.7265625" style="1" customWidth="1"/>
    <col min="5893" max="5893" width="7" style="1" customWidth="1"/>
    <col min="5894" max="5894" width="6.54296875" style="1" customWidth="1"/>
    <col min="5895" max="5895" width="14.1796875" style="1" customWidth="1"/>
    <col min="5896" max="5896" width="2.7265625" style="1" customWidth="1"/>
    <col min="5897" max="6144" width="9.1796875" style="1"/>
    <col min="6145" max="6145" width="2.7265625" style="1" customWidth="1"/>
    <col min="6146" max="6146" width="4.54296875" style="1" customWidth="1"/>
    <col min="6147" max="6147" width="3.81640625" style="1" bestFit="1" customWidth="1"/>
    <col min="6148" max="6148" width="48.7265625" style="1" customWidth="1"/>
    <col min="6149" max="6149" width="7" style="1" customWidth="1"/>
    <col min="6150" max="6150" width="6.54296875" style="1" customWidth="1"/>
    <col min="6151" max="6151" width="14.1796875" style="1" customWidth="1"/>
    <col min="6152" max="6152" width="2.7265625" style="1" customWidth="1"/>
    <col min="6153" max="6400" width="9.1796875" style="1"/>
    <col min="6401" max="6401" width="2.7265625" style="1" customWidth="1"/>
    <col min="6402" max="6402" width="4.54296875" style="1" customWidth="1"/>
    <col min="6403" max="6403" width="3.81640625" style="1" bestFit="1" customWidth="1"/>
    <col min="6404" max="6404" width="48.7265625" style="1" customWidth="1"/>
    <col min="6405" max="6405" width="7" style="1" customWidth="1"/>
    <col min="6406" max="6406" width="6.54296875" style="1" customWidth="1"/>
    <col min="6407" max="6407" width="14.1796875" style="1" customWidth="1"/>
    <col min="6408" max="6408" width="2.7265625" style="1" customWidth="1"/>
    <col min="6409" max="6656" width="9.1796875" style="1"/>
    <col min="6657" max="6657" width="2.7265625" style="1" customWidth="1"/>
    <col min="6658" max="6658" width="4.54296875" style="1" customWidth="1"/>
    <col min="6659" max="6659" width="3.81640625" style="1" bestFit="1" customWidth="1"/>
    <col min="6660" max="6660" width="48.7265625" style="1" customWidth="1"/>
    <col min="6661" max="6661" width="7" style="1" customWidth="1"/>
    <col min="6662" max="6662" width="6.54296875" style="1" customWidth="1"/>
    <col min="6663" max="6663" width="14.1796875" style="1" customWidth="1"/>
    <col min="6664" max="6664" width="2.7265625" style="1" customWidth="1"/>
    <col min="6665" max="6912" width="9.1796875" style="1"/>
    <col min="6913" max="6913" width="2.7265625" style="1" customWidth="1"/>
    <col min="6914" max="6914" width="4.54296875" style="1" customWidth="1"/>
    <col min="6915" max="6915" width="3.81640625" style="1" bestFit="1" customWidth="1"/>
    <col min="6916" max="6916" width="48.7265625" style="1" customWidth="1"/>
    <col min="6917" max="6917" width="7" style="1" customWidth="1"/>
    <col min="6918" max="6918" width="6.54296875" style="1" customWidth="1"/>
    <col min="6919" max="6919" width="14.1796875" style="1" customWidth="1"/>
    <col min="6920" max="6920" width="2.7265625" style="1" customWidth="1"/>
    <col min="6921" max="7168" width="9.1796875" style="1"/>
    <col min="7169" max="7169" width="2.7265625" style="1" customWidth="1"/>
    <col min="7170" max="7170" width="4.54296875" style="1" customWidth="1"/>
    <col min="7171" max="7171" width="3.81640625" style="1" bestFit="1" customWidth="1"/>
    <col min="7172" max="7172" width="48.7265625" style="1" customWidth="1"/>
    <col min="7173" max="7173" width="7" style="1" customWidth="1"/>
    <col min="7174" max="7174" width="6.54296875" style="1" customWidth="1"/>
    <col min="7175" max="7175" width="14.1796875" style="1" customWidth="1"/>
    <col min="7176" max="7176" width="2.7265625" style="1" customWidth="1"/>
    <col min="7177" max="7424" width="9.1796875" style="1"/>
    <col min="7425" max="7425" width="2.7265625" style="1" customWidth="1"/>
    <col min="7426" max="7426" width="4.54296875" style="1" customWidth="1"/>
    <col min="7427" max="7427" width="3.81640625" style="1" bestFit="1" customWidth="1"/>
    <col min="7428" max="7428" width="48.7265625" style="1" customWidth="1"/>
    <col min="7429" max="7429" width="7" style="1" customWidth="1"/>
    <col min="7430" max="7430" width="6.54296875" style="1" customWidth="1"/>
    <col min="7431" max="7431" width="14.1796875" style="1" customWidth="1"/>
    <col min="7432" max="7432" width="2.7265625" style="1" customWidth="1"/>
    <col min="7433" max="7680" width="9.1796875" style="1"/>
    <col min="7681" max="7681" width="2.7265625" style="1" customWidth="1"/>
    <col min="7682" max="7682" width="4.54296875" style="1" customWidth="1"/>
    <col min="7683" max="7683" width="3.81640625" style="1" bestFit="1" customWidth="1"/>
    <col min="7684" max="7684" width="48.7265625" style="1" customWidth="1"/>
    <col min="7685" max="7685" width="7" style="1" customWidth="1"/>
    <col min="7686" max="7686" width="6.54296875" style="1" customWidth="1"/>
    <col min="7687" max="7687" width="14.1796875" style="1" customWidth="1"/>
    <col min="7688" max="7688" width="2.7265625" style="1" customWidth="1"/>
    <col min="7689" max="7936" width="9.1796875" style="1"/>
    <col min="7937" max="7937" width="2.7265625" style="1" customWidth="1"/>
    <col min="7938" max="7938" width="4.54296875" style="1" customWidth="1"/>
    <col min="7939" max="7939" width="3.81640625" style="1" bestFit="1" customWidth="1"/>
    <col min="7940" max="7940" width="48.7265625" style="1" customWidth="1"/>
    <col min="7941" max="7941" width="7" style="1" customWidth="1"/>
    <col min="7942" max="7942" width="6.54296875" style="1" customWidth="1"/>
    <col min="7943" max="7943" width="14.1796875" style="1" customWidth="1"/>
    <col min="7944" max="7944" width="2.7265625" style="1" customWidth="1"/>
    <col min="7945" max="8192" width="9.1796875" style="1"/>
    <col min="8193" max="8193" width="2.7265625" style="1" customWidth="1"/>
    <col min="8194" max="8194" width="4.54296875" style="1" customWidth="1"/>
    <col min="8195" max="8195" width="3.81640625" style="1" bestFit="1" customWidth="1"/>
    <col min="8196" max="8196" width="48.7265625" style="1" customWidth="1"/>
    <col min="8197" max="8197" width="7" style="1" customWidth="1"/>
    <col min="8198" max="8198" width="6.54296875" style="1" customWidth="1"/>
    <col min="8199" max="8199" width="14.1796875" style="1" customWidth="1"/>
    <col min="8200" max="8200" width="2.7265625" style="1" customWidth="1"/>
    <col min="8201" max="8448" width="9.1796875" style="1"/>
    <col min="8449" max="8449" width="2.7265625" style="1" customWidth="1"/>
    <col min="8450" max="8450" width="4.54296875" style="1" customWidth="1"/>
    <col min="8451" max="8451" width="3.81640625" style="1" bestFit="1" customWidth="1"/>
    <col min="8452" max="8452" width="48.7265625" style="1" customWidth="1"/>
    <col min="8453" max="8453" width="7" style="1" customWidth="1"/>
    <col min="8454" max="8454" width="6.54296875" style="1" customWidth="1"/>
    <col min="8455" max="8455" width="14.1796875" style="1" customWidth="1"/>
    <col min="8456" max="8456" width="2.7265625" style="1" customWidth="1"/>
    <col min="8457" max="8704" width="9.1796875" style="1"/>
    <col min="8705" max="8705" width="2.7265625" style="1" customWidth="1"/>
    <col min="8706" max="8706" width="4.54296875" style="1" customWidth="1"/>
    <col min="8707" max="8707" width="3.81640625" style="1" bestFit="1" customWidth="1"/>
    <col min="8708" max="8708" width="48.7265625" style="1" customWidth="1"/>
    <col min="8709" max="8709" width="7" style="1" customWidth="1"/>
    <col min="8710" max="8710" width="6.54296875" style="1" customWidth="1"/>
    <col min="8711" max="8711" width="14.1796875" style="1" customWidth="1"/>
    <col min="8712" max="8712" width="2.7265625" style="1" customWidth="1"/>
    <col min="8713" max="8960" width="9.1796875" style="1"/>
    <col min="8961" max="8961" width="2.7265625" style="1" customWidth="1"/>
    <col min="8962" max="8962" width="4.54296875" style="1" customWidth="1"/>
    <col min="8963" max="8963" width="3.81640625" style="1" bestFit="1" customWidth="1"/>
    <col min="8964" max="8964" width="48.7265625" style="1" customWidth="1"/>
    <col min="8965" max="8965" width="7" style="1" customWidth="1"/>
    <col min="8966" max="8966" width="6.54296875" style="1" customWidth="1"/>
    <col min="8967" max="8967" width="14.1796875" style="1" customWidth="1"/>
    <col min="8968" max="8968" width="2.7265625" style="1" customWidth="1"/>
    <col min="8969" max="9216" width="9.1796875" style="1"/>
    <col min="9217" max="9217" width="2.7265625" style="1" customWidth="1"/>
    <col min="9218" max="9218" width="4.54296875" style="1" customWidth="1"/>
    <col min="9219" max="9219" width="3.81640625" style="1" bestFit="1" customWidth="1"/>
    <col min="9220" max="9220" width="48.7265625" style="1" customWidth="1"/>
    <col min="9221" max="9221" width="7" style="1" customWidth="1"/>
    <col min="9222" max="9222" width="6.54296875" style="1" customWidth="1"/>
    <col min="9223" max="9223" width="14.1796875" style="1" customWidth="1"/>
    <col min="9224" max="9224" width="2.7265625" style="1" customWidth="1"/>
    <col min="9225" max="9472" width="9.1796875" style="1"/>
    <col min="9473" max="9473" width="2.7265625" style="1" customWidth="1"/>
    <col min="9474" max="9474" width="4.54296875" style="1" customWidth="1"/>
    <col min="9475" max="9475" width="3.81640625" style="1" bestFit="1" customWidth="1"/>
    <col min="9476" max="9476" width="48.7265625" style="1" customWidth="1"/>
    <col min="9477" max="9477" width="7" style="1" customWidth="1"/>
    <col min="9478" max="9478" width="6.54296875" style="1" customWidth="1"/>
    <col min="9479" max="9479" width="14.1796875" style="1" customWidth="1"/>
    <col min="9480" max="9480" width="2.7265625" style="1" customWidth="1"/>
    <col min="9481" max="9728" width="9.1796875" style="1"/>
    <col min="9729" max="9729" width="2.7265625" style="1" customWidth="1"/>
    <col min="9730" max="9730" width="4.54296875" style="1" customWidth="1"/>
    <col min="9731" max="9731" width="3.81640625" style="1" bestFit="1" customWidth="1"/>
    <col min="9732" max="9732" width="48.7265625" style="1" customWidth="1"/>
    <col min="9733" max="9733" width="7" style="1" customWidth="1"/>
    <col min="9734" max="9734" width="6.54296875" style="1" customWidth="1"/>
    <col min="9735" max="9735" width="14.1796875" style="1" customWidth="1"/>
    <col min="9736" max="9736" width="2.7265625" style="1" customWidth="1"/>
    <col min="9737" max="9984" width="9.1796875" style="1"/>
    <col min="9985" max="9985" width="2.7265625" style="1" customWidth="1"/>
    <col min="9986" max="9986" width="4.54296875" style="1" customWidth="1"/>
    <col min="9987" max="9987" width="3.81640625" style="1" bestFit="1" customWidth="1"/>
    <col min="9988" max="9988" width="48.7265625" style="1" customWidth="1"/>
    <col min="9989" max="9989" width="7" style="1" customWidth="1"/>
    <col min="9990" max="9990" width="6.54296875" style="1" customWidth="1"/>
    <col min="9991" max="9991" width="14.1796875" style="1" customWidth="1"/>
    <col min="9992" max="9992" width="2.7265625" style="1" customWidth="1"/>
    <col min="9993" max="10240" width="9.1796875" style="1"/>
    <col min="10241" max="10241" width="2.7265625" style="1" customWidth="1"/>
    <col min="10242" max="10242" width="4.54296875" style="1" customWidth="1"/>
    <col min="10243" max="10243" width="3.81640625" style="1" bestFit="1" customWidth="1"/>
    <col min="10244" max="10244" width="48.7265625" style="1" customWidth="1"/>
    <col min="10245" max="10245" width="7" style="1" customWidth="1"/>
    <col min="10246" max="10246" width="6.54296875" style="1" customWidth="1"/>
    <col min="10247" max="10247" width="14.1796875" style="1" customWidth="1"/>
    <col min="10248" max="10248" width="2.7265625" style="1" customWidth="1"/>
    <col min="10249" max="10496" width="9.1796875" style="1"/>
    <col min="10497" max="10497" width="2.7265625" style="1" customWidth="1"/>
    <col min="10498" max="10498" width="4.54296875" style="1" customWidth="1"/>
    <col min="10499" max="10499" width="3.81640625" style="1" bestFit="1" customWidth="1"/>
    <col min="10500" max="10500" width="48.7265625" style="1" customWidth="1"/>
    <col min="10501" max="10501" width="7" style="1" customWidth="1"/>
    <col min="10502" max="10502" width="6.54296875" style="1" customWidth="1"/>
    <col min="10503" max="10503" width="14.1796875" style="1" customWidth="1"/>
    <col min="10504" max="10504" width="2.7265625" style="1" customWidth="1"/>
    <col min="10505" max="10752" width="9.1796875" style="1"/>
    <col min="10753" max="10753" width="2.7265625" style="1" customWidth="1"/>
    <col min="10754" max="10754" width="4.54296875" style="1" customWidth="1"/>
    <col min="10755" max="10755" width="3.81640625" style="1" bestFit="1" customWidth="1"/>
    <col min="10756" max="10756" width="48.7265625" style="1" customWidth="1"/>
    <col min="10757" max="10757" width="7" style="1" customWidth="1"/>
    <col min="10758" max="10758" width="6.54296875" style="1" customWidth="1"/>
    <col min="10759" max="10759" width="14.1796875" style="1" customWidth="1"/>
    <col min="10760" max="10760" width="2.7265625" style="1" customWidth="1"/>
    <col min="10761" max="11008" width="9.1796875" style="1"/>
    <col min="11009" max="11009" width="2.7265625" style="1" customWidth="1"/>
    <col min="11010" max="11010" width="4.54296875" style="1" customWidth="1"/>
    <col min="11011" max="11011" width="3.81640625" style="1" bestFit="1" customWidth="1"/>
    <col min="11012" max="11012" width="48.7265625" style="1" customWidth="1"/>
    <col min="11013" max="11013" width="7" style="1" customWidth="1"/>
    <col min="11014" max="11014" width="6.54296875" style="1" customWidth="1"/>
    <col min="11015" max="11015" width="14.1796875" style="1" customWidth="1"/>
    <col min="11016" max="11016" width="2.7265625" style="1" customWidth="1"/>
    <col min="11017" max="11264" width="9.1796875" style="1"/>
    <col min="11265" max="11265" width="2.7265625" style="1" customWidth="1"/>
    <col min="11266" max="11266" width="4.54296875" style="1" customWidth="1"/>
    <col min="11267" max="11267" width="3.81640625" style="1" bestFit="1" customWidth="1"/>
    <col min="11268" max="11268" width="48.7265625" style="1" customWidth="1"/>
    <col min="11269" max="11269" width="7" style="1" customWidth="1"/>
    <col min="11270" max="11270" width="6.54296875" style="1" customWidth="1"/>
    <col min="11271" max="11271" width="14.1796875" style="1" customWidth="1"/>
    <col min="11272" max="11272" width="2.7265625" style="1" customWidth="1"/>
    <col min="11273" max="11520" width="9.1796875" style="1"/>
    <col min="11521" max="11521" width="2.7265625" style="1" customWidth="1"/>
    <col min="11522" max="11522" width="4.54296875" style="1" customWidth="1"/>
    <col min="11523" max="11523" width="3.81640625" style="1" bestFit="1" customWidth="1"/>
    <col min="11524" max="11524" width="48.7265625" style="1" customWidth="1"/>
    <col min="11525" max="11525" width="7" style="1" customWidth="1"/>
    <col min="11526" max="11526" width="6.54296875" style="1" customWidth="1"/>
    <col min="11527" max="11527" width="14.1796875" style="1" customWidth="1"/>
    <col min="11528" max="11528" width="2.7265625" style="1" customWidth="1"/>
    <col min="11529" max="11776" width="9.1796875" style="1"/>
    <col min="11777" max="11777" width="2.7265625" style="1" customWidth="1"/>
    <col min="11778" max="11778" width="4.54296875" style="1" customWidth="1"/>
    <col min="11779" max="11779" width="3.81640625" style="1" bestFit="1" customWidth="1"/>
    <col min="11780" max="11780" width="48.7265625" style="1" customWidth="1"/>
    <col min="11781" max="11781" width="7" style="1" customWidth="1"/>
    <col min="11782" max="11782" width="6.54296875" style="1" customWidth="1"/>
    <col min="11783" max="11783" width="14.1796875" style="1" customWidth="1"/>
    <col min="11784" max="11784" width="2.7265625" style="1" customWidth="1"/>
    <col min="11785" max="12032" width="9.1796875" style="1"/>
    <col min="12033" max="12033" width="2.7265625" style="1" customWidth="1"/>
    <col min="12034" max="12034" width="4.54296875" style="1" customWidth="1"/>
    <col min="12035" max="12035" width="3.81640625" style="1" bestFit="1" customWidth="1"/>
    <col min="12036" max="12036" width="48.7265625" style="1" customWidth="1"/>
    <col min="12037" max="12037" width="7" style="1" customWidth="1"/>
    <col min="12038" max="12038" width="6.54296875" style="1" customWidth="1"/>
    <col min="12039" max="12039" width="14.1796875" style="1" customWidth="1"/>
    <col min="12040" max="12040" width="2.7265625" style="1" customWidth="1"/>
    <col min="12041" max="12288" width="9.1796875" style="1"/>
    <col min="12289" max="12289" width="2.7265625" style="1" customWidth="1"/>
    <col min="12290" max="12290" width="4.54296875" style="1" customWidth="1"/>
    <col min="12291" max="12291" width="3.81640625" style="1" bestFit="1" customWidth="1"/>
    <col min="12292" max="12292" width="48.7265625" style="1" customWidth="1"/>
    <col min="12293" max="12293" width="7" style="1" customWidth="1"/>
    <col min="12294" max="12294" width="6.54296875" style="1" customWidth="1"/>
    <col min="12295" max="12295" width="14.1796875" style="1" customWidth="1"/>
    <col min="12296" max="12296" width="2.7265625" style="1" customWidth="1"/>
    <col min="12297" max="12544" width="9.1796875" style="1"/>
    <col min="12545" max="12545" width="2.7265625" style="1" customWidth="1"/>
    <col min="12546" max="12546" width="4.54296875" style="1" customWidth="1"/>
    <col min="12547" max="12547" width="3.81640625" style="1" bestFit="1" customWidth="1"/>
    <col min="12548" max="12548" width="48.7265625" style="1" customWidth="1"/>
    <col min="12549" max="12549" width="7" style="1" customWidth="1"/>
    <col min="12550" max="12550" width="6.54296875" style="1" customWidth="1"/>
    <col min="12551" max="12551" width="14.1796875" style="1" customWidth="1"/>
    <col min="12552" max="12552" width="2.7265625" style="1" customWidth="1"/>
    <col min="12553" max="12800" width="9.1796875" style="1"/>
    <col min="12801" max="12801" width="2.7265625" style="1" customWidth="1"/>
    <col min="12802" max="12802" width="4.54296875" style="1" customWidth="1"/>
    <col min="12803" max="12803" width="3.81640625" style="1" bestFit="1" customWidth="1"/>
    <col min="12804" max="12804" width="48.7265625" style="1" customWidth="1"/>
    <col min="12805" max="12805" width="7" style="1" customWidth="1"/>
    <col min="12806" max="12806" width="6.54296875" style="1" customWidth="1"/>
    <col min="12807" max="12807" width="14.1796875" style="1" customWidth="1"/>
    <col min="12808" max="12808" width="2.7265625" style="1" customWidth="1"/>
    <col min="12809" max="13056" width="9.1796875" style="1"/>
    <col min="13057" max="13057" width="2.7265625" style="1" customWidth="1"/>
    <col min="13058" max="13058" width="4.54296875" style="1" customWidth="1"/>
    <col min="13059" max="13059" width="3.81640625" style="1" bestFit="1" customWidth="1"/>
    <col min="13060" max="13060" width="48.7265625" style="1" customWidth="1"/>
    <col min="13061" max="13061" width="7" style="1" customWidth="1"/>
    <col min="13062" max="13062" width="6.54296875" style="1" customWidth="1"/>
    <col min="13063" max="13063" width="14.1796875" style="1" customWidth="1"/>
    <col min="13064" max="13064" width="2.7265625" style="1" customWidth="1"/>
    <col min="13065" max="13312" width="9.1796875" style="1"/>
    <col min="13313" max="13313" width="2.7265625" style="1" customWidth="1"/>
    <col min="13314" max="13314" width="4.54296875" style="1" customWidth="1"/>
    <col min="13315" max="13315" width="3.81640625" style="1" bestFit="1" customWidth="1"/>
    <col min="13316" max="13316" width="48.7265625" style="1" customWidth="1"/>
    <col min="13317" max="13317" width="7" style="1" customWidth="1"/>
    <col min="13318" max="13318" width="6.54296875" style="1" customWidth="1"/>
    <col min="13319" max="13319" width="14.1796875" style="1" customWidth="1"/>
    <col min="13320" max="13320" width="2.7265625" style="1" customWidth="1"/>
    <col min="13321" max="13568" width="9.1796875" style="1"/>
    <col min="13569" max="13569" width="2.7265625" style="1" customWidth="1"/>
    <col min="13570" max="13570" width="4.54296875" style="1" customWidth="1"/>
    <col min="13571" max="13571" width="3.81640625" style="1" bestFit="1" customWidth="1"/>
    <col min="13572" max="13572" width="48.7265625" style="1" customWidth="1"/>
    <col min="13573" max="13573" width="7" style="1" customWidth="1"/>
    <col min="13574" max="13574" width="6.54296875" style="1" customWidth="1"/>
    <col min="13575" max="13575" width="14.1796875" style="1" customWidth="1"/>
    <col min="13576" max="13576" width="2.7265625" style="1" customWidth="1"/>
    <col min="13577" max="13824" width="9.1796875" style="1"/>
    <col min="13825" max="13825" width="2.7265625" style="1" customWidth="1"/>
    <col min="13826" max="13826" width="4.54296875" style="1" customWidth="1"/>
    <col min="13827" max="13827" width="3.81640625" style="1" bestFit="1" customWidth="1"/>
    <col min="13828" max="13828" width="48.7265625" style="1" customWidth="1"/>
    <col min="13829" max="13829" width="7" style="1" customWidth="1"/>
    <col min="13830" max="13830" width="6.54296875" style="1" customWidth="1"/>
    <col min="13831" max="13831" width="14.1796875" style="1" customWidth="1"/>
    <col min="13832" max="13832" width="2.7265625" style="1" customWidth="1"/>
    <col min="13833" max="14080" width="9.1796875" style="1"/>
    <col min="14081" max="14081" width="2.7265625" style="1" customWidth="1"/>
    <col min="14082" max="14082" width="4.54296875" style="1" customWidth="1"/>
    <col min="14083" max="14083" width="3.81640625" style="1" bestFit="1" customWidth="1"/>
    <col min="14084" max="14084" width="48.7265625" style="1" customWidth="1"/>
    <col min="14085" max="14085" width="7" style="1" customWidth="1"/>
    <col min="14086" max="14086" width="6.54296875" style="1" customWidth="1"/>
    <col min="14087" max="14087" width="14.1796875" style="1" customWidth="1"/>
    <col min="14088" max="14088" width="2.7265625" style="1" customWidth="1"/>
    <col min="14089" max="14336" width="9.1796875" style="1"/>
    <col min="14337" max="14337" width="2.7265625" style="1" customWidth="1"/>
    <col min="14338" max="14338" width="4.54296875" style="1" customWidth="1"/>
    <col min="14339" max="14339" width="3.81640625" style="1" bestFit="1" customWidth="1"/>
    <col min="14340" max="14340" width="48.7265625" style="1" customWidth="1"/>
    <col min="14341" max="14341" width="7" style="1" customWidth="1"/>
    <col min="14342" max="14342" width="6.54296875" style="1" customWidth="1"/>
    <col min="14343" max="14343" width="14.1796875" style="1" customWidth="1"/>
    <col min="14344" max="14344" width="2.7265625" style="1" customWidth="1"/>
    <col min="14345" max="14592" width="9.1796875" style="1"/>
    <col min="14593" max="14593" width="2.7265625" style="1" customWidth="1"/>
    <col min="14594" max="14594" width="4.54296875" style="1" customWidth="1"/>
    <col min="14595" max="14595" width="3.81640625" style="1" bestFit="1" customWidth="1"/>
    <col min="14596" max="14596" width="48.7265625" style="1" customWidth="1"/>
    <col min="14597" max="14597" width="7" style="1" customWidth="1"/>
    <col min="14598" max="14598" width="6.54296875" style="1" customWidth="1"/>
    <col min="14599" max="14599" width="14.1796875" style="1" customWidth="1"/>
    <col min="14600" max="14600" width="2.7265625" style="1" customWidth="1"/>
    <col min="14601" max="14848" width="9.1796875" style="1"/>
    <col min="14849" max="14849" width="2.7265625" style="1" customWidth="1"/>
    <col min="14850" max="14850" width="4.54296875" style="1" customWidth="1"/>
    <col min="14851" max="14851" width="3.81640625" style="1" bestFit="1" customWidth="1"/>
    <col min="14852" max="14852" width="48.7265625" style="1" customWidth="1"/>
    <col min="14853" max="14853" width="7" style="1" customWidth="1"/>
    <col min="14854" max="14854" width="6.54296875" style="1" customWidth="1"/>
    <col min="14855" max="14855" width="14.1796875" style="1" customWidth="1"/>
    <col min="14856" max="14856" width="2.7265625" style="1" customWidth="1"/>
    <col min="14857" max="15104" width="9.1796875" style="1"/>
    <col min="15105" max="15105" width="2.7265625" style="1" customWidth="1"/>
    <col min="15106" max="15106" width="4.54296875" style="1" customWidth="1"/>
    <col min="15107" max="15107" width="3.81640625" style="1" bestFit="1" customWidth="1"/>
    <col min="15108" max="15108" width="48.7265625" style="1" customWidth="1"/>
    <col min="15109" max="15109" width="7" style="1" customWidth="1"/>
    <col min="15110" max="15110" width="6.54296875" style="1" customWidth="1"/>
    <col min="15111" max="15111" width="14.1796875" style="1" customWidth="1"/>
    <col min="15112" max="15112" width="2.7265625" style="1" customWidth="1"/>
    <col min="15113" max="15360" width="9.1796875" style="1"/>
    <col min="15361" max="15361" width="2.7265625" style="1" customWidth="1"/>
    <col min="15362" max="15362" width="4.54296875" style="1" customWidth="1"/>
    <col min="15363" max="15363" width="3.81640625" style="1" bestFit="1" customWidth="1"/>
    <col min="15364" max="15364" width="48.7265625" style="1" customWidth="1"/>
    <col min="15365" max="15365" width="7" style="1" customWidth="1"/>
    <col min="15366" max="15366" width="6.54296875" style="1" customWidth="1"/>
    <col min="15367" max="15367" width="14.1796875" style="1" customWidth="1"/>
    <col min="15368" max="15368" width="2.7265625" style="1" customWidth="1"/>
    <col min="15369" max="15616" width="9.1796875" style="1"/>
    <col min="15617" max="15617" width="2.7265625" style="1" customWidth="1"/>
    <col min="15618" max="15618" width="4.54296875" style="1" customWidth="1"/>
    <col min="15619" max="15619" width="3.81640625" style="1" bestFit="1" customWidth="1"/>
    <col min="15620" max="15620" width="48.7265625" style="1" customWidth="1"/>
    <col min="15621" max="15621" width="7" style="1" customWidth="1"/>
    <col min="15622" max="15622" width="6.54296875" style="1" customWidth="1"/>
    <col min="15623" max="15623" width="14.1796875" style="1" customWidth="1"/>
    <col min="15624" max="15624" width="2.7265625" style="1" customWidth="1"/>
    <col min="15625" max="15872" width="9.1796875" style="1"/>
    <col min="15873" max="15873" width="2.7265625" style="1" customWidth="1"/>
    <col min="15874" max="15874" width="4.54296875" style="1" customWidth="1"/>
    <col min="15875" max="15875" width="3.81640625" style="1" bestFit="1" customWidth="1"/>
    <col min="15876" max="15876" width="48.7265625" style="1" customWidth="1"/>
    <col min="15877" max="15877" width="7" style="1" customWidth="1"/>
    <col min="15878" max="15878" width="6.54296875" style="1" customWidth="1"/>
    <col min="15879" max="15879" width="14.1796875" style="1" customWidth="1"/>
    <col min="15880" max="15880" width="2.7265625" style="1" customWidth="1"/>
    <col min="15881" max="16128" width="9.1796875" style="1"/>
    <col min="16129" max="16129" width="2.7265625" style="1" customWidth="1"/>
    <col min="16130" max="16130" width="4.54296875" style="1" customWidth="1"/>
    <col min="16131" max="16131" width="3.81640625" style="1" bestFit="1" customWidth="1"/>
    <col min="16132" max="16132" width="48.7265625" style="1" customWidth="1"/>
    <col min="16133" max="16133" width="7" style="1" customWidth="1"/>
    <col min="16134" max="16134" width="6.54296875" style="1" customWidth="1"/>
    <col min="16135" max="16135" width="14.1796875" style="1" customWidth="1"/>
    <col min="16136" max="16136" width="2.7265625" style="1" customWidth="1"/>
    <col min="16137" max="16384" width="9.1796875" style="1"/>
  </cols>
  <sheetData>
    <row r="1" spans="1:10" ht="15.5" x14ac:dyDescent="0.35">
      <c r="A1" s="92" t="s">
        <v>72</v>
      </c>
      <c r="B1" s="2"/>
      <c r="C1" s="2"/>
      <c r="D1" s="2"/>
      <c r="E1" s="3" t="s">
        <v>30</v>
      </c>
      <c r="F1" s="4" t="s">
        <v>73</v>
      </c>
      <c r="G1" s="5"/>
    </row>
    <row r="2" spans="1:10" ht="15.5" x14ac:dyDescent="0.35">
      <c r="A2" s="15" t="s">
        <v>31</v>
      </c>
      <c r="B2" s="2"/>
      <c r="C2" s="2"/>
      <c r="D2" s="2"/>
      <c r="E2" s="6"/>
      <c r="F2" s="2"/>
      <c r="G2" s="6"/>
    </row>
    <row r="4" spans="1:10" s="43" customFormat="1" ht="15.5" x14ac:dyDescent="0.35">
      <c r="A4" s="41"/>
      <c r="B4" s="41"/>
      <c r="C4" s="41"/>
      <c r="D4" s="132" t="s">
        <v>18</v>
      </c>
      <c r="E4" s="41"/>
      <c r="F4" s="42" t="s">
        <v>14</v>
      </c>
      <c r="G4" s="41">
        <v>10</v>
      </c>
      <c r="H4" s="41"/>
    </row>
    <row r="5" spans="1:10" s="46" customFormat="1" ht="8.5" thickBot="1" x14ac:dyDescent="0.25">
      <c r="A5" s="44"/>
      <c r="B5" s="44"/>
      <c r="C5" s="44"/>
      <c r="D5" s="44"/>
      <c r="E5" s="44"/>
      <c r="F5" s="44"/>
      <c r="G5" s="45">
        <v>1</v>
      </c>
      <c r="H5" s="44"/>
    </row>
    <row r="6" spans="1:10" ht="13" customHeight="1" thickTop="1" x14ac:dyDescent="0.25">
      <c r="A6" s="47"/>
      <c r="B6" s="63"/>
      <c r="D6" s="64"/>
      <c r="E6" s="64" t="s">
        <v>19</v>
      </c>
      <c r="F6" s="64" t="s">
        <v>2</v>
      </c>
      <c r="G6" s="65" t="s">
        <v>20</v>
      </c>
      <c r="H6" s="48"/>
    </row>
    <row r="7" spans="1:10" ht="13" customHeight="1" thickBot="1" x14ac:dyDescent="0.3">
      <c r="A7" s="53"/>
      <c r="B7" s="66" t="s">
        <v>4</v>
      </c>
      <c r="C7" s="67"/>
      <c r="D7" s="68" t="s">
        <v>21</v>
      </c>
      <c r="E7" s="68" t="s">
        <v>17</v>
      </c>
      <c r="F7" s="68" t="s">
        <v>6</v>
      </c>
      <c r="G7" s="68" t="s">
        <v>22</v>
      </c>
      <c r="H7" s="58"/>
    </row>
    <row r="8" spans="1:10" ht="9" customHeight="1" thickTop="1" x14ac:dyDescent="0.25">
      <c r="A8" s="47"/>
      <c r="B8" s="69"/>
      <c r="C8" s="70"/>
      <c r="D8" s="50"/>
      <c r="E8" s="50"/>
      <c r="F8" s="50"/>
      <c r="G8" s="71"/>
      <c r="H8" s="48"/>
    </row>
    <row r="9" spans="1:10" ht="16" customHeight="1" x14ac:dyDescent="0.35">
      <c r="A9" s="61">
        <v>1</v>
      </c>
      <c r="B9" s="164" t="s">
        <v>10</v>
      </c>
      <c r="C9" s="37">
        <v>2</v>
      </c>
      <c r="D9" s="165" t="s">
        <v>32</v>
      </c>
      <c r="E9" s="165" t="s">
        <v>74</v>
      </c>
      <c r="F9" s="37">
        <v>230</v>
      </c>
      <c r="G9" s="38">
        <v>3252</v>
      </c>
      <c r="H9" s="62">
        <v>1</v>
      </c>
    </row>
    <row r="10" spans="1:10" ht="16" customHeight="1" x14ac:dyDescent="0.35">
      <c r="A10" s="61">
        <v>2</v>
      </c>
      <c r="B10" s="36"/>
      <c r="C10" s="37">
        <v>7</v>
      </c>
      <c r="D10" s="165" t="s">
        <v>77</v>
      </c>
      <c r="E10" s="165" t="s">
        <v>75</v>
      </c>
      <c r="F10" s="37">
        <v>210</v>
      </c>
      <c r="G10" s="38">
        <v>532</v>
      </c>
      <c r="H10" s="62">
        <v>2</v>
      </c>
      <c r="J10" s="88"/>
    </row>
    <row r="11" spans="1:10" ht="16" customHeight="1" thickBot="1" x14ac:dyDescent="0.4">
      <c r="A11" s="61">
        <v>3</v>
      </c>
      <c r="B11" s="36"/>
      <c r="C11" s="37">
        <v>11</v>
      </c>
      <c r="D11" s="165" t="s">
        <v>33</v>
      </c>
      <c r="E11" s="165" t="s">
        <v>76</v>
      </c>
      <c r="F11" s="37">
        <v>250</v>
      </c>
      <c r="G11" s="38">
        <v>866</v>
      </c>
      <c r="H11" s="62">
        <v>3</v>
      </c>
    </row>
    <row r="12" spans="1:10" ht="16" customHeight="1" thickBot="1" x14ac:dyDescent="0.4">
      <c r="A12" s="61">
        <v>4</v>
      </c>
      <c r="B12" s="72"/>
      <c r="C12" s="33">
        <v>12</v>
      </c>
      <c r="D12" s="167" t="s">
        <v>79</v>
      </c>
      <c r="E12" s="73"/>
      <c r="F12" s="75"/>
      <c r="G12" s="76">
        <f>SUM(G9:G11)</f>
        <v>4650</v>
      </c>
      <c r="H12" s="62">
        <v>4</v>
      </c>
    </row>
    <row r="13" spans="1:10" ht="16" customHeight="1" thickTop="1" x14ac:dyDescent="0.35">
      <c r="A13" s="61">
        <v>5</v>
      </c>
      <c r="B13" s="74"/>
      <c r="C13" s="75"/>
      <c r="D13" s="75"/>
      <c r="E13" s="75"/>
      <c r="F13" s="75"/>
      <c r="G13" s="163" t="s">
        <v>80</v>
      </c>
      <c r="H13" s="62">
        <v>5</v>
      </c>
    </row>
    <row r="14" spans="1:10" ht="16" customHeight="1" x14ac:dyDescent="0.35">
      <c r="A14" s="61">
        <v>6</v>
      </c>
      <c r="B14" s="74"/>
      <c r="C14" s="75"/>
      <c r="D14" s="75"/>
      <c r="E14" s="75"/>
      <c r="F14" s="75"/>
      <c r="G14" s="89"/>
      <c r="H14" s="62">
        <v>6</v>
      </c>
    </row>
    <row r="15" spans="1:10" ht="17.25" customHeight="1" x14ac:dyDescent="0.35">
      <c r="A15" s="61">
        <v>7</v>
      </c>
      <c r="B15" s="74"/>
      <c r="C15" s="75"/>
      <c r="D15" s="75"/>
      <c r="E15" s="75"/>
      <c r="F15" s="75"/>
      <c r="G15" s="89"/>
      <c r="H15" s="62">
        <v>7</v>
      </c>
    </row>
  </sheetData>
  <printOptions horizontalCentered="1"/>
  <pageMargins left="0.25" right="0.25" top="0.5" bottom="0.5" header="0.5" footer="0.5"/>
  <pageSetup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51"/>
  <sheetViews>
    <sheetView zoomScaleNormal="100" workbookViewId="0">
      <selection activeCell="H22" sqref="H22"/>
    </sheetView>
  </sheetViews>
  <sheetFormatPr defaultColWidth="9.1796875" defaultRowHeight="10" x14ac:dyDescent="0.2"/>
  <cols>
    <col min="1" max="1" width="1.453125" style="1" customWidth="1"/>
    <col min="2" max="2" width="5.54296875" style="1" customWidth="1"/>
    <col min="3" max="3" width="3.54296875" style="1" customWidth="1"/>
    <col min="4" max="4" width="36.54296875" style="1" customWidth="1"/>
    <col min="5" max="5" width="8.1796875" style="1" bestFit="1" customWidth="1"/>
    <col min="6" max="6" width="12.54296875" style="1" bestFit="1" customWidth="1"/>
    <col min="7" max="7" width="15.81640625" style="1" bestFit="1" customWidth="1"/>
    <col min="8" max="8" width="13" style="1" bestFit="1" customWidth="1"/>
    <col min="9" max="9" width="1.453125" style="1" customWidth="1"/>
    <col min="10" max="16384" width="9.1796875" style="1"/>
  </cols>
  <sheetData>
    <row r="1" spans="1:9" ht="15.5" x14ac:dyDescent="0.35">
      <c r="A1" s="92" t="str">
        <f>'9-2 Pur Jrnl'!A1</f>
        <v xml:space="preserve">work together 9-2 thru 9-5 </v>
      </c>
      <c r="B1" s="15"/>
      <c r="C1" s="15"/>
      <c r="D1" s="15"/>
      <c r="E1" s="3" t="s">
        <v>9</v>
      </c>
      <c r="F1" s="4" t="s">
        <v>73</v>
      </c>
      <c r="G1" s="5"/>
    </row>
    <row r="2" spans="1:9" ht="15.5" x14ac:dyDescent="0.35">
      <c r="A2" s="15" t="s">
        <v>41</v>
      </c>
      <c r="B2" s="15"/>
      <c r="C2" s="15"/>
      <c r="D2" s="15"/>
      <c r="E2" s="2"/>
      <c r="F2" s="2"/>
      <c r="G2" s="6"/>
    </row>
    <row r="3" spans="1:9" x14ac:dyDescent="0.2">
      <c r="A3" s="16"/>
      <c r="B3" s="16"/>
      <c r="C3" s="16"/>
      <c r="D3" s="16"/>
    </row>
    <row r="4" spans="1:9" ht="15.5" x14ac:dyDescent="0.35">
      <c r="A4" s="16"/>
      <c r="B4" s="16"/>
      <c r="C4" s="16"/>
      <c r="D4" s="6" t="s">
        <v>13</v>
      </c>
    </row>
    <row r="5" spans="1:9" x14ac:dyDescent="0.2">
      <c r="A5" s="16"/>
      <c r="B5" s="16"/>
      <c r="C5" s="16"/>
      <c r="D5" s="16"/>
    </row>
    <row r="6" spans="1:9" ht="12.75" customHeight="1" x14ac:dyDescent="0.35">
      <c r="A6" s="17" t="s">
        <v>0</v>
      </c>
      <c r="B6" s="17"/>
      <c r="C6" s="17"/>
      <c r="D6" s="15" t="s">
        <v>42</v>
      </c>
      <c r="E6" s="2"/>
      <c r="F6" s="15"/>
      <c r="G6" s="18" t="s">
        <v>1</v>
      </c>
      <c r="H6" s="15">
        <v>210</v>
      </c>
      <c r="I6" s="2"/>
    </row>
    <row r="7" spans="1:9" ht="5.15" customHeight="1" thickBot="1" x14ac:dyDescent="0.4">
      <c r="A7" s="19"/>
      <c r="B7" s="19"/>
      <c r="C7" s="19"/>
      <c r="D7" s="19"/>
      <c r="E7" s="7"/>
      <c r="F7" s="19"/>
      <c r="G7" s="19"/>
      <c r="H7" s="19"/>
      <c r="I7" s="7"/>
    </row>
    <row r="8" spans="1:9" ht="13" customHeight="1" thickTop="1" x14ac:dyDescent="0.35">
      <c r="A8" s="20"/>
      <c r="B8" s="21"/>
      <c r="C8" s="15"/>
      <c r="D8" s="22"/>
      <c r="E8" s="9" t="s">
        <v>2</v>
      </c>
      <c r="F8" s="22"/>
      <c r="G8" s="22"/>
      <c r="H8" s="23" t="s">
        <v>3</v>
      </c>
      <c r="I8" s="8"/>
    </row>
    <row r="9" spans="1:9" ht="13" customHeight="1" thickBot="1" x14ac:dyDescent="0.4">
      <c r="A9" s="24"/>
      <c r="B9" s="25" t="s">
        <v>4</v>
      </c>
      <c r="C9" s="26"/>
      <c r="D9" s="27" t="s">
        <v>5</v>
      </c>
      <c r="E9" s="10" t="s">
        <v>6</v>
      </c>
      <c r="F9" s="27" t="s">
        <v>7</v>
      </c>
      <c r="G9" s="27" t="s">
        <v>3</v>
      </c>
      <c r="H9" s="27" t="s">
        <v>8</v>
      </c>
      <c r="I9" s="11"/>
    </row>
    <row r="10" spans="1:9" ht="9" customHeight="1" thickTop="1" x14ac:dyDescent="0.35">
      <c r="A10" s="20"/>
      <c r="B10" s="28"/>
      <c r="C10" s="29"/>
      <c r="D10" s="22"/>
      <c r="E10" s="9"/>
      <c r="F10" s="22"/>
      <c r="G10" s="22"/>
      <c r="H10" s="30"/>
      <c r="I10" s="8"/>
    </row>
    <row r="11" spans="1:9" ht="16" customHeight="1" x14ac:dyDescent="0.35">
      <c r="A11" s="31"/>
      <c r="B11" s="32" t="s">
        <v>10</v>
      </c>
      <c r="C11" s="33">
        <v>1</v>
      </c>
      <c r="D11" s="33" t="s">
        <v>11</v>
      </c>
      <c r="E11" s="14" t="s">
        <v>12</v>
      </c>
      <c r="F11" s="34"/>
      <c r="G11" s="34"/>
      <c r="H11" s="34">
        <v>1698.88</v>
      </c>
      <c r="I11" s="12"/>
    </row>
    <row r="12" spans="1:9" ht="16" customHeight="1" x14ac:dyDescent="0.35">
      <c r="A12" s="35"/>
      <c r="B12" s="36"/>
      <c r="C12" s="37">
        <v>7</v>
      </c>
      <c r="D12" s="37"/>
      <c r="E12" s="165" t="s">
        <v>78</v>
      </c>
      <c r="F12" s="38"/>
      <c r="G12" s="38">
        <v>532</v>
      </c>
      <c r="H12" s="38">
        <v>2230.88</v>
      </c>
      <c r="I12" s="13"/>
    </row>
    <row r="13" spans="1:9" ht="16" customHeight="1" x14ac:dyDescent="0.35">
      <c r="A13" s="35"/>
      <c r="B13" s="36"/>
      <c r="C13" s="37"/>
      <c r="D13" s="37"/>
      <c r="E13" s="37"/>
      <c r="F13" s="38"/>
      <c r="G13" s="38"/>
      <c r="H13" s="38"/>
      <c r="I13" s="13"/>
    </row>
    <row r="14" spans="1:9" ht="15.5" x14ac:dyDescent="0.35">
      <c r="A14" s="15"/>
      <c r="B14" s="15"/>
      <c r="C14" s="15"/>
      <c r="D14" s="15"/>
      <c r="E14" s="2"/>
      <c r="F14" s="15"/>
      <c r="G14" s="15"/>
      <c r="H14" s="15"/>
      <c r="I14" s="2"/>
    </row>
    <row r="15" spans="1:9" ht="12.75" customHeight="1" x14ac:dyDescent="0.35">
      <c r="A15" s="39" t="s">
        <v>0</v>
      </c>
      <c r="B15" s="39"/>
      <c r="C15" s="39"/>
      <c r="D15" s="15" t="s">
        <v>43</v>
      </c>
      <c r="E15" s="2"/>
      <c r="F15" s="15"/>
      <c r="G15" s="18" t="s">
        <v>1</v>
      </c>
      <c r="H15" s="15">
        <v>220</v>
      </c>
      <c r="I15" s="2"/>
    </row>
    <row r="16" spans="1:9" ht="5.15" customHeight="1" thickBot="1" x14ac:dyDescent="0.4">
      <c r="A16" s="19"/>
      <c r="B16" s="19"/>
      <c r="C16" s="19"/>
      <c r="D16" s="19"/>
      <c r="E16" s="7"/>
      <c r="F16" s="19"/>
      <c r="G16" s="19"/>
      <c r="H16" s="19"/>
      <c r="I16" s="7"/>
    </row>
    <row r="17" spans="1:9" ht="13" customHeight="1" thickTop="1" x14ac:dyDescent="0.35">
      <c r="A17" s="20"/>
      <c r="B17" s="21"/>
      <c r="C17" s="15"/>
      <c r="D17" s="22"/>
      <c r="E17" s="9" t="s">
        <v>2</v>
      </c>
      <c r="F17" s="22"/>
      <c r="G17" s="22"/>
      <c r="H17" s="23" t="s">
        <v>3</v>
      </c>
      <c r="I17" s="8"/>
    </row>
    <row r="18" spans="1:9" ht="13" customHeight="1" thickBot="1" x14ac:dyDescent="0.4">
      <c r="A18" s="24"/>
      <c r="B18" s="25" t="s">
        <v>4</v>
      </c>
      <c r="C18" s="26"/>
      <c r="D18" s="27" t="s">
        <v>5</v>
      </c>
      <c r="E18" s="10" t="s">
        <v>6</v>
      </c>
      <c r="F18" s="27" t="s">
        <v>7</v>
      </c>
      <c r="G18" s="27" t="s">
        <v>3</v>
      </c>
      <c r="H18" s="27" t="s">
        <v>8</v>
      </c>
      <c r="I18" s="11"/>
    </row>
    <row r="19" spans="1:9" ht="9" customHeight="1" thickTop="1" x14ac:dyDescent="0.35">
      <c r="A19" s="20"/>
      <c r="B19" s="28"/>
      <c r="C19" s="29"/>
      <c r="D19" s="22"/>
      <c r="E19" s="9"/>
      <c r="F19" s="22"/>
      <c r="G19" s="22"/>
      <c r="H19" s="30"/>
      <c r="I19" s="8"/>
    </row>
    <row r="20" spans="1:9" ht="16" customHeight="1" x14ac:dyDescent="0.35">
      <c r="A20" s="31"/>
      <c r="B20" s="32" t="s">
        <v>10</v>
      </c>
      <c r="C20" s="33">
        <v>1</v>
      </c>
      <c r="D20" s="33" t="s">
        <v>11</v>
      </c>
      <c r="E20" s="14" t="s">
        <v>12</v>
      </c>
      <c r="F20" s="34"/>
      <c r="G20" s="34"/>
      <c r="H20" s="34">
        <v>1640</v>
      </c>
      <c r="I20" s="12"/>
    </row>
    <row r="21" spans="1:9" ht="16" customHeight="1" x14ac:dyDescent="0.35">
      <c r="A21" s="35"/>
      <c r="B21" s="36"/>
      <c r="C21" s="37">
        <v>3</v>
      </c>
      <c r="D21" s="37"/>
      <c r="E21" s="165" t="s">
        <v>78</v>
      </c>
      <c r="F21" s="86">
        <v>1640</v>
      </c>
      <c r="G21" s="38"/>
      <c r="H21" s="38">
        <f>H20-F21</f>
        <v>0</v>
      </c>
      <c r="I21" s="13"/>
    </row>
    <row r="22" spans="1:9" ht="16" customHeight="1" x14ac:dyDescent="0.35">
      <c r="A22" s="35"/>
      <c r="B22" s="36"/>
      <c r="C22" s="37"/>
      <c r="D22" s="37"/>
      <c r="E22" s="37"/>
      <c r="F22" s="38"/>
      <c r="G22" s="38"/>
      <c r="H22" s="38"/>
      <c r="I22" s="13"/>
    </row>
    <row r="23" spans="1:9" ht="15.5" x14ac:dyDescent="0.35">
      <c r="A23" s="15"/>
      <c r="B23" s="15"/>
      <c r="C23" s="15"/>
      <c r="D23" s="15"/>
      <c r="E23" s="2"/>
      <c r="F23" s="15"/>
      <c r="G23" s="15"/>
      <c r="H23" s="15"/>
      <c r="I23" s="2"/>
    </row>
    <row r="24" spans="1:9" ht="12.75" customHeight="1" x14ac:dyDescent="0.35">
      <c r="A24" s="39" t="s">
        <v>0</v>
      </c>
      <c r="B24" s="39"/>
      <c r="C24" s="39"/>
      <c r="D24" s="15" t="s">
        <v>32</v>
      </c>
      <c r="E24" s="2"/>
      <c r="F24" s="15"/>
      <c r="G24" s="18" t="s">
        <v>1</v>
      </c>
      <c r="H24" s="15">
        <v>230</v>
      </c>
      <c r="I24" s="2"/>
    </row>
    <row r="25" spans="1:9" ht="5.15" customHeight="1" thickBot="1" x14ac:dyDescent="0.4">
      <c r="A25" s="19"/>
      <c r="B25" s="19"/>
      <c r="C25" s="19"/>
      <c r="D25" s="19"/>
      <c r="E25" s="7"/>
      <c r="F25" s="19"/>
      <c r="G25" s="19"/>
      <c r="H25" s="19"/>
      <c r="I25" s="7"/>
    </row>
    <row r="26" spans="1:9" ht="13" customHeight="1" thickTop="1" x14ac:dyDescent="0.35">
      <c r="A26" s="20"/>
      <c r="B26" s="21"/>
      <c r="C26" s="15"/>
      <c r="D26" s="22"/>
      <c r="E26" s="9" t="s">
        <v>2</v>
      </c>
      <c r="F26" s="22"/>
      <c r="G26" s="22"/>
      <c r="H26" s="23" t="s">
        <v>3</v>
      </c>
      <c r="I26" s="8"/>
    </row>
    <row r="27" spans="1:9" ht="13" customHeight="1" thickBot="1" x14ac:dyDescent="0.4">
      <c r="A27" s="24"/>
      <c r="B27" s="25" t="s">
        <v>4</v>
      </c>
      <c r="C27" s="26"/>
      <c r="D27" s="27" t="s">
        <v>5</v>
      </c>
      <c r="E27" s="10" t="s">
        <v>6</v>
      </c>
      <c r="F27" s="27" t="s">
        <v>7</v>
      </c>
      <c r="G27" s="27" t="s">
        <v>3</v>
      </c>
      <c r="H27" s="27" t="s">
        <v>8</v>
      </c>
      <c r="I27" s="11"/>
    </row>
    <row r="28" spans="1:9" ht="9" customHeight="1" thickTop="1" x14ac:dyDescent="0.35">
      <c r="A28" s="20"/>
      <c r="B28" s="28"/>
      <c r="C28" s="29"/>
      <c r="D28" s="22"/>
      <c r="E28" s="9"/>
      <c r="F28" s="22"/>
      <c r="G28" s="22"/>
      <c r="H28" s="30"/>
      <c r="I28" s="8"/>
    </row>
    <row r="29" spans="1:9" ht="16" customHeight="1" x14ac:dyDescent="0.35">
      <c r="A29" s="31"/>
      <c r="B29" s="40" t="s">
        <v>10</v>
      </c>
      <c r="C29" s="33">
        <v>1</v>
      </c>
      <c r="D29" s="33" t="s">
        <v>11</v>
      </c>
      <c r="E29" s="14" t="s">
        <v>12</v>
      </c>
      <c r="F29" s="34"/>
      <c r="G29" s="34"/>
      <c r="H29" s="34">
        <v>925.65</v>
      </c>
      <c r="I29" s="12"/>
    </row>
    <row r="30" spans="1:9" ht="16" customHeight="1" x14ac:dyDescent="0.35">
      <c r="A30" s="35"/>
      <c r="B30" s="36"/>
      <c r="C30" s="37">
        <v>2</v>
      </c>
      <c r="D30" s="37"/>
      <c r="E30" s="165" t="s">
        <v>78</v>
      </c>
      <c r="F30" s="38"/>
      <c r="G30" s="38">
        <v>3252</v>
      </c>
      <c r="H30" s="38">
        <v>4177.6499999999996</v>
      </c>
      <c r="I30" s="13"/>
    </row>
    <row r="31" spans="1:9" ht="16" customHeight="1" x14ac:dyDescent="0.35">
      <c r="A31" s="35"/>
      <c r="B31" s="36"/>
      <c r="C31" s="37"/>
      <c r="D31" s="37"/>
      <c r="E31" s="37"/>
      <c r="F31" s="38"/>
      <c r="G31" s="38"/>
      <c r="H31" s="38"/>
      <c r="I31" s="13"/>
    </row>
    <row r="32" spans="1:9" ht="15.5" x14ac:dyDescent="0.35">
      <c r="A32" s="15"/>
      <c r="B32" s="15"/>
      <c r="C32" s="15"/>
      <c r="D32" s="15"/>
      <c r="E32" s="2"/>
      <c r="F32" s="15"/>
      <c r="G32" s="15"/>
      <c r="H32" s="15"/>
      <c r="I32" s="2"/>
    </row>
    <row r="33" spans="1:9" ht="12.75" customHeight="1" x14ac:dyDescent="0.35">
      <c r="A33" s="39" t="s">
        <v>0</v>
      </c>
      <c r="B33" s="39"/>
      <c r="C33" s="39"/>
      <c r="D33" s="15" t="s">
        <v>37</v>
      </c>
      <c r="E33" s="2"/>
      <c r="F33" s="15"/>
      <c r="G33" s="18" t="s">
        <v>1</v>
      </c>
      <c r="H33" s="15">
        <v>240</v>
      </c>
      <c r="I33" s="2"/>
    </row>
    <row r="34" spans="1:9" ht="5.15" customHeight="1" thickBot="1" x14ac:dyDescent="0.4">
      <c r="A34" s="19"/>
      <c r="B34" s="19"/>
      <c r="C34" s="19"/>
      <c r="D34" s="19"/>
      <c r="E34" s="7"/>
      <c r="F34" s="19"/>
      <c r="G34" s="19"/>
      <c r="H34" s="19"/>
      <c r="I34" s="7"/>
    </row>
    <row r="35" spans="1:9" ht="13" customHeight="1" thickTop="1" x14ac:dyDescent="0.35">
      <c r="A35" s="20"/>
      <c r="B35" s="21"/>
      <c r="C35" s="15"/>
      <c r="D35" s="22"/>
      <c r="E35" s="9" t="s">
        <v>2</v>
      </c>
      <c r="F35" s="22"/>
      <c r="G35" s="22"/>
      <c r="H35" s="23" t="s">
        <v>3</v>
      </c>
      <c r="I35" s="8"/>
    </row>
    <row r="36" spans="1:9" ht="13" customHeight="1" thickBot="1" x14ac:dyDescent="0.4">
      <c r="A36" s="24"/>
      <c r="B36" s="25" t="s">
        <v>4</v>
      </c>
      <c r="C36" s="26"/>
      <c r="D36" s="27" t="s">
        <v>5</v>
      </c>
      <c r="E36" s="10" t="s">
        <v>6</v>
      </c>
      <c r="F36" s="27" t="s">
        <v>7</v>
      </c>
      <c r="G36" s="27" t="s">
        <v>3</v>
      </c>
      <c r="H36" s="27" t="s">
        <v>8</v>
      </c>
      <c r="I36" s="11"/>
    </row>
    <row r="37" spans="1:9" ht="9" customHeight="1" thickTop="1" x14ac:dyDescent="0.35">
      <c r="A37" s="20"/>
      <c r="B37" s="28"/>
      <c r="C37" s="29"/>
      <c r="D37" s="22"/>
      <c r="E37" s="9"/>
      <c r="F37" s="22"/>
      <c r="G37" s="22"/>
      <c r="H37" s="30"/>
      <c r="I37" s="8"/>
    </row>
    <row r="38" spans="1:9" ht="16" customHeight="1" x14ac:dyDescent="0.35">
      <c r="A38" s="31"/>
      <c r="B38" s="32" t="s">
        <v>10</v>
      </c>
      <c r="C38" s="33">
        <v>1</v>
      </c>
      <c r="D38" s="33" t="s">
        <v>11</v>
      </c>
      <c r="E38" s="14" t="s">
        <v>12</v>
      </c>
      <c r="F38" s="34"/>
      <c r="G38" s="34"/>
      <c r="H38" s="34">
        <v>992</v>
      </c>
      <c r="I38" s="12"/>
    </row>
    <row r="39" spans="1:9" ht="16" customHeight="1" x14ac:dyDescent="0.35">
      <c r="A39" s="35"/>
      <c r="B39" s="36"/>
      <c r="C39" s="37">
        <v>16</v>
      </c>
      <c r="D39" s="37"/>
      <c r="E39" s="165" t="s">
        <v>78</v>
      </c>
      <c r="F39" s="38">
        <v>426</v>
      </c>
      <c r="H39" s="38">
        <f>H38-F39</f>
        <v>566</v>
      </c>
      <c r="I39" s="13"/>
    </row>
    <row r="40" spans="1:9" ht="16" customHeight="1" x14ac:dyDescent="0.35">
      <c r="A40" s="35"/>
      <c r="B40" s="36"/>
      <c r="C40" s="37"/>
      <c r="D40" s="37"/>
      <c r="E40" s="37"/>
      <c r="F40" s="38"/>
      <c r="G40" s="38"/>
      <c r="H40" s="38"/>
      <c r="I40" s="13"/>
    </row>
    <row r="41" spans="1:9" ht="16" customHeight="1" x14ac:dyDescent="0.35">
      <c r="A41" s="15"/>
      <c r="B41" s="15"/>
      <c r="C41" s="15"/>
      <c r="D41" s="15"/>
      <c r="E41" s="15"/>
      <c r="F41" s="90"/>
      <c r="G41" s="90"/>
      <c r="H41" s="90"/>
      <c r="I41" s="91"/>
    </row>
    <row r="42" spans="1:9" ht="12.75" customHeight="1" x14ac:dyDescent="0.35">
      <c r="A42" s="39" t="s">
        <v>0</v>
      </c>
      <c r="B42" s="39"/>
      <c r="C42" s="39"/>
      <c r="D42" s="15" t="s">
        <v>33</v>
      </c>
      <c r="E42" s="2"/>
      <c r="F42" s="15"/>
      <c r="G42" s="18" t="s">
        <v>1</v>
      </c>
      <c r="H42" s="15">
        <v>250</v>
      </c>
      <c r="I42" s="2"/>
    </row>
    <row r="43" spans="1:9" ht="5.15" customHeight="1" thickBot="1" x14ac:dyDescent="0.4">
      <c r="A43" s="19"/>
      <c r="B43" s="19"/>
      <c r="C43" s="19"/>
      <c r="D43" s="19"/>
      <c r="E43" s="7"/>
      <c r="F43" s="19"/>
      <c r="G43" s="19"/>
      <c r="H43" s="19"/>
      <c r="I43" s="7"/>
    </row>
    <row r="44" spans="1:9" ht="13" customHeight="1" thickTop="1" x14ac:dyDescent="0.35">
      <c r="A44" s="20"/>
      <c r="B44" s="21"/>
      <c r="C44" s="15"/>
      <c r="D44" s="22"/>
      <c r="E44" s="9" t="s">
        <v>2</v>
      </c>
      <c r="F44" s="22"/>
      <c r="G44" s="22"/>
      <c r="H44" s="23" t="s">
        <v>3</v>
      </c>
      <c r="I44" s="8"/>
    </row>
    <row r="45" spans="1:9" ht="13" customHeight="1" thickBot="1" x14ac:dyDescent="0.4">
      <c r="A45" s="24"/>
      <c r="B45" s="25" t="s">
        <v>4</v>
      </c>
      <c r="C45" s="26"/>
      <c r="D45" s="27" t="s">
        <v>5</v>
      </c>
      <c r="E45" s="10" t="s">
        <v>6</v>
      </c>
      <c r="F45" s="27" t="s">
        <v>7</v>
      </c>
      <c r="G45" s="27" t="s">
        <v>3</v>
      </c>
      <c r="H45" s="27" t="s">
        <v>8</v>
      </c>
      <c r="I45" s="11"/>
    </row>
    <row r="46" spans="1:9" ht="9" customHeight="1" thickTop="1" x14ac:dyDescent="0.35">
      <c r="A46" s="20"/>
      <c r="B46" s="28"/>
      <c r="C46" s="29"/>
      <c r="D46" s="22"/>
      <c r="E46" s="9"/>
      <c r="F46" s="22"/>
      <c r="G46" s="22"/>
      <c r="H46" s="30"/>
      <c r="I46" s="8"/>
    </row>
    <row r="47" spans="1:9" ht="16" customHeight="1" x14ac:dyDescent="0.35">
      <c r="A47" s="31"/>
      <c r="B47" s="32" t="s">
        <v>10</v>
      </c>
      <c r="C47" s="33">
        <v>1</v>
      </c>
      <c r="D47" s="33" t="s">
        <v>11</v>
      </c>
      <c r="E47" s="14" t="s">
        <v>12</v>
      </c>
      <c r="F47" s="34"/>
      <c r="G47" s="34"/>
      <c r="H47" s="34">
        <v>877</v>
      </c>
      <c r="I47" s="12"/>
    </row>
    <row r="48" spans="1:9" ht="16" customHeight="1" x14ac:dyDescent="0.35">
      <c r="A48" s="35"/>
      <c r="B48" s="36"/>
      <c r="C48" s="37">
        <v>11</v>
      </c>
      <c r="D48" s="37"/>
      <c r="E48" s="165" t="s">
        <v>78</v>
      </c>
      <c r="F48" s="38"/>
      <c r="G48" s="38">
        <v>866</v>
      </c>
      <c r="H48" s="38">
        <f>H47+G48</f>
        <v>1743</v>
      </c>
      <c r="I48" s="13"/>
    </row>
    <row r="49" spans="1:9" ht="16" customHeight="1" x14ac:dyDescent="0.35">
      <c r="A49" s="35"/>
      <c r="B49" s="36"/>
      <c r="C49" s="37"/>
      <c r="D49" s="37"/>
      <c r="E49" s="37"/>
      <c r="F49" s="38"/>
      <c r="G49" s="38"/>
      <c r="H49" s="38"/>
      <c r="I49" s="13"/>
    </row>
    <row r="51" spans="1:9" ht="15.5" x14ac:dyDescent="0.35">
      <c r="D51" s="2"/>
      <c r="E51" s="2"/>
      <c r="F51" s="2"/>
    </row>
  </sheetData>
  <printOptions horizontalCentered="1"/>
  <pageMargins left="0.25" right="0.25" top="0.5" bottom="0.5" header="0.5" footer="0.5"/>
  <pageSetup orientation="portrait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J82"/>
  <sheetViews>
    <sheetView tabSelected="1" zoomScaleNormal="100" workbookViewId="0">
      <selection activeCell="K18" sqref="K18"/>
    </sheetView>
  </sheetViews>
  <sheetFormatPr defaultRowHeight="10" x14ac:dyDescent="0.2"/>
  <cols>
    <col min="1" max="1" width="1.453125" style="95" customWidth="1"/>
    <col min="2" max="2" width="5.54296875" style="95" customWidth="1"/>
    <col min="3" max="3" width="3.54296875" style="95" customWidth="1"/>
    <col min="4" max="4" width="36.54296875" style="95" customWidth="1"/>
    <col min="5" max="5" width="7" style="95" customWidth="1"/>
    <col min="6" max="7" width="10.7265625" style="95" customWidth="1"/>
    <col min="8" max="8" width="12.1796875" style="95" customWidth="1"/>
    <col min="9" max="9" width="11.26953125" style="95" customWidth="1"/>
    <col min="10" max="10" width="1.453125" style="95" customWidth="1"/>
    <col min="11" max="256" width="9.1796875" style="95"/>
    <col min="257" max="257" width="1.453125" style="95" customWidth="1"/>
    <col min="258" max="258" width="5.54296875" style="95" customWidth="1"/>
    <col min="259" max="259" width="3.54296875" style="95" customWidth="1"/>
    <col min="260" max="260" width="36.54296875" style="95" customWidth="1"/>
    <col min="261" max="261" width="7" style="95" customWidth="1"/>
    <col min="262" max="263" width="10.7265625" style="95" customWidth="1"/>
    <col min="264" max="264" width="12.1796875" style="95" customWidth="1"/>
    <col min="265" max="265" width="11.26953125" style="95" customWidth="1"/>
    <col min="266" max="266" width="1.453125" style="95" customWidth="1"/>
    <col min="267" max="512" width="9.1796875" style="95"/>
    <col min="513" max="513" width="1.453125" style="95" customWidth="1"/>
    <col min="514" max="514" width="5.54296875" style="95" customWidth="1"/>
    <col min="515" max="515" width="3.54296875" style="95" customWidth="1"/>
    <col min="516" max="516" width="36.54296875" style="95" customWidth="1"/>
    <col min="517" max="517" width="7" style="95" customWidth="1"/>
    <col min="518" max="519" width="10.7265625" style="95" customWidth="1"/>
    <col min="520" max="520" width="12.1796875" style="95" customWidth="1"/>
    <col min="521" max="521" width="11.26953125" style="95" customWidth="1"/>
    <col min="522" max="522" width="1.453125" style="95" customWidth="1"/>
    <col min="523" max="768" width="9.1796875" style="95"/>
    <col min="769" max="769" width="1.453125" style="95" customWidth="1"/>
    <col min="770" max="770" width="5.54296875" style="95" customWidth="1"/>
    <col min="771" max="771" width="3.54296875" style="95" customWidth="1"/>
    <col min="772" max="772" width="36.54296875" style="95" customWidth="1"/>
    <col min="773" max="773" width="7" style="95" customWidth="1"/>
    <col min="774" max="775" width="10.7265625" style="95" customWidth="1"/>
    <col min="776" max="776" width="12.1796875" style="95" customWidth="1"/>
    <col min="777" max="777" width="11.26953125" style="95" customWidth="1"/>
    <col min="778" max="778" width="1.453125" style="95" customWidth="1"/>
    <col min="779" max="1024" width="9.1796875" style="95"/>
    <col min="1025" max="1025" width="1.453125" style="95" customWidth="1"/>
    <col min="1026" max="1026" width="5.54296875" style="95" customWidth="1"/>
    <col min="1027" max="1027" width="3.54296875" style="95" customWidth="1"/>
    <col min="1028" max="1028" width="36.54296875" style="95" customWidth="1"/>
    <col min="1029" max="1029" width="7" style="95" customWidth="1"/>
    <col min="1030" max="1031" width="10.7265625" style="95" customWidth="1"/>
    <col min="1032" max="1032" width="12.1796875" style="95" customWidth="1"/>
    <col min="1033" max="1033" width="11.26953125" style="95" customWidth="1"/>
    <col min="1034" max="1034" width="1.453125" style="95" customWidth="1"/>
    <col min="1035" max="1280" width="9.1796875" style="95"/>
    <col min="1281" max="1281" width="1.453125" style="95" customWidth="1"/>
    <col min="1282" max="1282" width="5.54296875" style="95" customWidth="1"/>
    <col min="1283" max="1283" width="3.54296875" style="95" customWidth="1"/>
    <col min="1284" max="1284" width="36.54296875" style="95" customWidth="1"/>
    <col min="1285" max="1285" width="7" style="95" customWidth="1"/>
    <col min="1286" max="1287" width="10.7265625" style="95" customWidth="1"/>
    <col min="1288" max="1288" width="12.1796875" style="95" customWidth="1"/>
    <col min="1289" max="1289" width="11.26953125" style="95" customWidth="1"/>
    <col min="1290" max="1290" width="1.453125" style="95" customWidth="1"/>
    <col min="1291" max="1536" width="9.1796875" style="95"/>
    <col min="1537" max="1537" width="1.453125" style="95" customWidth="1"/>
    <col min="1538" max="1538" width="5.54296875" style="95" customWidth="1"/>
    <col min="1539" max="1539" width="3.54296875" style="95" customWidth="1"/>
    <col min="1540" max="1540" width="36.54296875" style="95" customWidth="1"/>
    <col min="1541" max="1541" width="7" style="95" customWidth="1"/>
    <col min="1542" max="1543" width="10.7265625" style="95" customWidth="1"/>
    <col min="1544" max="1544" width="12.1796875" style="95" customWidth="1"/>
    <col min="1545" max="1545" width="11.26953125" style="95" customWidth="1"/>
    <col min="1546" max="1546" width="1.453125" style="95" customWidth="1"/>
    <col min="1547" max="1792" width="9.1796875" style="95"/>
    <col min="1793" max="1793" width="1.453125" style="95" customWidth="1"/>
    <col min="1794" max="1794" width="5.54296875" style="95" customWidth="1"/>
    <col min="1795" max="1795" width="3.54296875" style="95" customWidth="1"/>
    <col min="1796" max="1796" width="36.54296875" style="95" customWidth="1"/>
    <col min="1797" max="1797" width="7" style="95" customWidth="1"/>
    <col min="1798" max="1799" width="10.7265625" style="95" customWidth="1"/>
    <col min="1800" max="1800" width="12.1796875" style="95" customWidth="1"/>
    <col min="1801" max="1801" width="11.26953125" style="95" customWidth="1"/>
    <col min="1802" max="1802" width="1.453125" style="95" customWidth="1"/>
    <col min="1803" max="2048" width="9.1796875" style="95"/>
    <col min="2049" max="2049" width="1.453125" style="95" customWidth="1"/>
    <col min="2050" max="2050" width="5.54296875" style="95" customWidth="1"/>
    <col min="2051" max="2051" width="3.54296875" style="95" customWidth="1"/>
    <col min="2052" max="2052" width="36.54296875" style="95" customWidth="1"/>
    <col min="2053" max="2053" width="7" style="95" customWidth="1"/>
    <col min="2054" max="2055" width="10.7265625" style="95" customWidth="1"/>
    <col min="2056" max="2056" width="12.1796875" style="95" customWidth="1"/>
    <col min="2057" max="2057" width="11.26953125" style="95" customWidth="1"/>
    <col min="2058" max="2058" width="1.453125" style="95" customWidth="1"/>
    <col min="2059" max="2304" width="9.1796875" style="95"/>
    <col min="2305" max="2305" width="1.453125" style="95" customWidth="1"/>
    <col min="2306" max="2306" width="5.54296875" style="95" customWidth="1"/>
    <col min="2307" max="2307" width="3.54296875" style="95" customWidth="1"/>
    <col min="2308" max="2308" width="36.54296875" style="95" customWidth="1"/>
    <col min="2309" max="2309" width="7" style="95" customWidth="1"/>
    <col min="2310" max="2311" width="10.7265625" style="95" customWidth="1"/>
    <col min="2312" max="2312" width="12.1796875" style="95" customWidth="1"/>
    <col min="2313" max="2313" width="11.26953125" style="95" customWidth="1"/>
    <col min="2314" max="2314" width="1.453125" style="95" customWidth="1"/>
    <col min="2315" max="2560" width="9.1796875" style="95"/>
    <col min="2561" max="2561" width="1.453125" style="95" customWidth="1"/>
    <col min="2562" max="2562" width="5.54296875" style="95" customWidth="1"/>
    <col min="2563" max="2563" width="3.54296875" style="95" customWidth="1"/>
    <col min="2564" max="2564" width="36.54296875" style="95" customWidth="1"/>
    <col min="2565" max="2565" width="7" style="95" customWidth="1"/>
    <col min="2566" max="2567" width="10.7265625" style="95" customWidth="1"/>
    <col min="2568" max="2568" width="12.1796875" style="95" customWidth="1"/>
    <col min="2569" max="2569" width="11.26953125" style="95" customWidth="1"/>
    <col min="2570" max="2570" width="1.453125" style="95" customWidth="1"/>
    <col min="2571" max="2816" width="9.1796875" style="95"/>
    <col min="2817" max="2817" width="1.453125" style="95" customWidth="1"/>
    <col min="2818" max="2818" width="5.54296875" style="95" customWidth="1"/>
    <col min="2819" max="2819" width="3.54296875" style="95" customWidth="1"/>
    <col min="2820" max="2820" width="36.54296875" style="95" customWidth="1"/>
    <col min="2821" max="2821" width="7" style="95" customWidth="1"/>
    <col min="2822" max="2823" width="10.7265625" style="95" customWidth="1"/>
    <col min="2824" max="2824" width="12.1796875" style="95" customWidth="1"/>
    <col min="2825" max="2825" width="11.26953125" style="95" customWidth="1"/>
    <col min="2826" max="2826" width="1.453125" style="95" customWidth="1"/>
    <col min="2827" max="3072" width="9.1796875" style="95"/>
    <col min="3073" max="3073" width="1.453125" style="95" customWidth="1"/>
    <col min="3074" max="3074" width="5.54296875" style="95" customWidth="1"/>
    <col min="3075" max="3075" width="3.54296875" style="95" customWidth="1"/>
    <col min="3076" max="3076" width="36.54296875" style="95" customWidth="1"/>
    <col min="3077" max="3077" width="7" style="95" customWidth="1"/>
    <col min="3078" max="3079" width="10.7265625" style="95" customWidth="1"/>
    <col min="3080" max="3080" width="12.1796875" style="95" customWidth="1"/>
    <col min="3081" max="3081" width="11.26953125" style="95" customWidth="1"/>
    <col min="3082" max="3082" width="1.453125" style="95" customWidth="1"/>
    <col min="3083" max="3328" width="9.1796875" style="95"/>
    <col min="3329" max="3329" width="1.453125" style="95" customWidth="1"/>
    <col min="3330" max="3330" width="5.54296875" style="95" customWidth="1"/>
    <col min="3331" max="3331" width="3.54296875" style="95" customWidth="1"/>
    <col min="3332" max="3332" width="36.54296875" style="95" customWidth="1"/>
    <col min="3333" max="3333" width="7" style="95" customWidth="1"/>
    <col min="3334" max="3335" width="10.7265625" style="95" customWidth="1"/>
    <col min="3336" max="3336" width="12.1796875" style="95" customWidth="1"/>
    <col min="3337" max="3337" width="11.26953125" style="95" customWidth="1"/>
    <col min="3338" max="3338" width="1.453125" style="95" customWidth="1"/>
    <col min="3339" max="3584" width="9.1796875" style="95"/>
    <col min="3585" max="3585" width="1.453125" style="95" customWidth="1"/>
    <col min="3586" max="3586" width="5.54296875" style="95" customWidth="1"/>
    <col min="3587" max="3587" width="3.54296875" style="95" customWidth="1"/>
    <col min="3588" max="3588" width="36.54296875" style="95" customWidth="1"/>
    <col min="3589" max="3589" width="7" style="95" customWidth="1"/>
    <col min="3590" max="3591" width="10.7265625" style="95" customWidth="1"/>
    <col min="3592" max="3592" width="12.1796875" style="95" customWidth="1"/>
    <col min="3593" max="3593" width="11.26953125" style="95" customWidth="1"/>
    <col min="3594" max="3594" width="1.453125" style="95" customWidth="1"/>
    <col min="3595" max="3840" width="9.1796875" style="95"/>
    <col min="3841" max="3841" width="1.453125" style="95" customWidth="1"/>
    <col min="3842" max="3842" width="5.54296875" style="95" customWidth="1"/>
    <col min="3843" max="3843" width="3.54296875" style="95" customWidth="1"/>
    <col min="3844" max="3844" width="36.54296875" style="95" customWidth="1"/>
    <col min="3845" max="3845" width="7" style="95" customWidth="1"/>
    <col min="3846" max="3847" width="10.7265625" style="95" customWidth="1"/>
    <col min="3848" max="3848" width="12.1796875" style="95" customWidth="1"/>
    <col min="3849" max="3849" width="11.26953125" style="95" customWidth="1"/>
    <col min="3850" max="3850" width="1.453125" style="95" customWidth="1"/>
    <col min="3851" max="4096" width="9.1796875" style="95"/>
    <col min="4097" max="4097" width="1.453125" style="95" customWidth="1"/>
    <col min="4098" max="4098" width="5.54296875" style="95" customWidth="1"/>
    <col min="4099" max="4099" width="3.54296875" style="95" customWidth="1"/>
    <col min="4100" max="4100" width="36.54296875" style="95" customWidth="1"/>
    <col min="4101" max="4101" width="7" style="95" customWidth="1"/>
    <col min="4102" max="4103" width="10.7265625" style="95" customWidth="1"/>
    <col min="4104" max="4104" width="12.1796875" style="95" customWidth="1"/>
    <col min="4105" max="4105" width="11.26953125" style="95" customWidth="1"/>
    <col min="4106" max="4106" width="1.453125" style="95" customWidth="1"/>
    <col min="4107" max="4352" width="9.1796875" style="95"/>
    <col min="4353" max="4353" width="1.453125" style="95" customWidth="1"/>
    <col min="4354" max="4354" width="5.54296875" style="95" customWidth="1"/>
    <col min="4355" max="4355" width="3.54296875" style="95" customWidth="1"/>
    <col min="4356" max="4356" width="36.54296875" style="95" customWidth="1"/>
    <col min="4357" max="4357" width="7" style="95" customWidth="1"/>
    <col min="4358" max="4359" width="10.7265625" style="95" customWidth="1"/>
    <col min="4360" max="4360" width="12.1796875" style="95" customWidth="1"/>
    <col min="4361" max="4361" width="11.26953125" style="95" customWidth="1"/>
    <col min="4362" max="4362" width="1.453125" style="95" customWidth="1"/>
    <col min="4363" max="4608" width="9.1796875" style="95"/>
    <col min="4609" max="4609" width="1.453125" style="95" customWidth="1"/>
    <col min="4610" max="4610" width="5.54296875" style="95" customWidth="1"/>
    <col min="4611" max="4611" width="3.54296875" style="95" customWidth="1"/>
    <col min="4612" max="4612" width="36.54296875" style="95" customWidth="1"/>
    <col min="4613" max="4613" width="7" style="95" customWidth="1"/>
    <col min="4614" max="4615" width="10.7265625" style="95" customWidth="1"/>
    <col min="4616" max="4616" width="12.1796875" style="95" customWidth="1"/>
    <col min="4617" max="4617" width="11.26953125" style="95" customWidth="1"/>
    <col min="4618" max="4618" width="1.453125" style="95" customWidth="1"/>
    <col min="4619" max="4864" width="9.1796875" style="95"/>
    <col min="4865" max="4865" width="1.453125" style="95" customWidth="1"/>
    <col min="4866" max="4866" width="5.54296875" style="95" customWidth="1"/>
    <col min="4867" max="4867" width="3.54296875" style="95" customWidth="1"/>
    <col min="4868" max="4868" width="36.54296875" style="95" customWidth="1"/>
    <col min="4869" max="4869" width="7" style="95" customWidth="1"/>
    <col min="4870" max="4871" width="10.7265625" style="95" customWidth="1"/>
    <col min="4872" max="4872" width="12.1796875" style="95" customWidth="1"/>
    <col min="4873" max="4873" width="11.26953125" style="95" customWidth="1"/>
    <col min="4874" max="4874" width="1.453125" style="95" customWidth="1"/>
    <col min="4875" max="5120" width="9.1796875" style="95"/>
    <col min="5121" max="5121" width="1.453125" style="95" customWidth="1"/>
    <col min="5122" max="5122" width="5.54296875" style="95" customWidth="1"/>
    <col min="5123" max="5123" width="3.54296875" style="95" customWidth="1"/>
    <col min="5124" max="5124" width="36.54296875" style="95" customWidth="1"/>
    <col min="5125" max="5125" width="7" style="95" customWidth="1"/>
    <col min="5126" max="5127" width="10.7265625" style="95" customWidth="1"/>
    <col min="5128" max="5128" width="12.1796875" style="95" customWidth="1"/>
    <col min="5129" max="5129" width="11.26953125" style="95" customWidth="1"/>
    <col min="5130" max="5130" width="1.453125" style="95" customWidth="1"/>
    <col min="5131" max="5376" width="9.1796875" style="95"/>
    <col min="5377" max="5377" width="1.453125" style="95" customWidth="1"/>
    <col min="5378" max="5378" width="5.54296875" style="95" customWidth="1"/>
    <col min="5379" max="5379" width="3.54296875" style="95" customWidth="1"/>
    <col min="5380" max="5380" width="36.54296875" style="95" customWidth="1"/>
    <col min="5381" max="5381" width="7" style="95" customWidth="1"/>
    <col min="5382" max="5383" width="10.7265625" style="95" customWidth="1"/>
    <col min="5384" max="5384" width="12.1796875" style="95" customWidth="1"/>
    <col min="5385" max="5385" width="11.26953125" style="95" customWidth="1"/>
    <col min="5386" max="5386" width="1.453125" style="95" customWidth="1"/>
    <col min="5387" max="5632" width="9.1796875" style="95"/>
    <col min="5633" max="5633" width="1.453125" style="95" customWidth="1"/>
    <col min="5634" max="5634" width="5.54296875" style="95" customWidth="1"/>
    <col min="5635" max="5635" width="3.54296875" style="95" customWidth="1"/>
    <col min="5636" max="5636" width="36.54296875" style="95" customWidth="1"/>
    <col min="5637" max="5637" width="7" style="95" customWidth="1"/>
    <col min="5638" max="5639" width="10.7265625" style="95" customWidth="1"/>
    <col min="5640" max="5640" width="12.1796875" style="95" customWidth="1"/>
    <col min="5641" max="5641" width="11.26953125" style="95" customWidth="1"/>
    <col min="5642" max="5642" width="1.453125" style="95" customWidth="1"/>
    <col min="5643" max="5888" width="9.1796875" style="95"/>
    <col min="5889" max="5889" width="1.453125" style="95" customWidth="1"/>
    <col min="5890" max="5890" width="5.54296875" style="95" customWidth="1"/>
    <col min="5891" max="5891" width="3.54296875" style="95" customWidth="1"/>
    <col min="5892" max="5892" width="36.54296875" style="95" customWidth="1"/>
    <col min="5893" max="5893" width="7" style="95" customWidth="1"/>
    <col min="5894" max="5895" width="10.7265625" style="95" customWidth="1"/>
    <col min="5896" max="5896" width="12.1796875" style="95" customWidth="1"/>
    <col min="5897" max="5897" width="11.26953125" style="95" customWidth="1"/>
    <col min="5898" max="5898" width="1.453125" style="95" customWidth="1"/>
    <col min="5899" max="6144" width="9.1796875" style="95"/>
    <col min="6145" max="6145" width="1.453125" style="95" customWidth="1"/>
    <col min="6146" max="6146" width="5.54296875" style="95" customWidth="1"/>
    <col min="6147" max="6147" width="3.54296875" style="95" customWidth="1"/>
    <col min="6148" max="6148" width="36.54296875" style="95" customWidth="1"/>
    <col min="6149" max="6149" width="7" style="95" customWidth="1"/>
    <col min="6150" max="6151" width="10.7265625" style="95" customWidth="1"/>
    <col min="6152" max="6152" width="12.1796875" style="95" customWidth="1"/>
    <col min="6153" max="6153" width="11.26953125" style="95" customWidth="1"/>
    <col min="6154" max="6154" width="1.453125" style="95" customWidth="1"/>
    <col min="6155" max="6400" width="9.1796875" style="95"/>
    <col min="6401" max="6401" width="1.453125" style="95" customWidth="1"/>
    <col min="6402" max="6402" width="5.54296875" style="95" customWidth="1"/>
    <col min="6403" max="6403" width="3.54296875" style="95" customWidth="1"/>
    <col min="6404" max="6404" width="36.54296875" style="95" customWidth="1"/>
    <col min="6405" max="6405" width="7" style="95" customWidth="1"/>
    <col min="6406" max="6407" width="10.7265625" style="95" customWidth="1"/>
    <col min="6408" max="6408" width="12.1796875" style="95" customWidth="1"/>
    <col min="6409" max="6409" width="11.26953125" style="95" customWidth="1"/>
    <col min="6410" max="6410" width="1.453125" style="95" customWidth="1"/>
    <col min="6411" max="6656" width="9.1796875" style="95"/>
    <col min="6657" max="6657" width="1.453125" style="95" customWidth="1"/>
    <col min="6658" max="6658" width="5.54296875" style="95" customWidth="1"/>
    <col min="6659" max="6659" width="3.54296875" style="95" customWidth="1"/>
    <col min="6660" max="6660" width="36.54296875" style="95" customWidth="1"/>
    <col min="6661" max="6661" width="7" style="95" customWidth="1"/>
    <col min="6662" max="6663" width="10.7265625" style="95" customWidth="1"/>
    <col min="6664" max="6664" width="12.1796875" style="95" customWidth="1"/>
    <col min="6665" max="6665" width="11.26953125" style="95" customWidth="1"/>
    <col min="6666" max="6666" width="1.453125" style="95" customWidth="1"/>
    <col min="6667" max="6912" width="9.1796875" style="95"/>
    <col min="6913" max="6913" width="1.453125" style="95" customWidth="1"/>
    <col min="6914" max="6914" width="5.54296875" style="95" customWidth="1"/>
    <col min="6915" max="6915" width="3.54296875" style="95" customWidth="1"/>
    <col min="6916" max="6916" width="36.54296875" style="95" customWidth="1"/>
    <col min="6917" max="6917" width="7" style="95" customWidth="1"/>
    <col min="6918" max="6919" width="10.7265625" style="95" customWidth="1"/>
    <col min="6920" max="6920" width="12.1796875" style="95" customWidth="1"/>
    <col min="6921" max="6921" width="11.26953125" style="95" customWidth="1"/>
    <col min="6922" max="6922" width="1.453125" style="95" customWidth="1"/>
    <col min="6923" max="7168" width="9.1796875" style="95"/>
    <col min="7169" max="7169" width="1.453125" style="95" customWidth="1"/>
    <col min="7170" max="7170" width="5.54296875" style="95" customWidth="1"/>
    <col min="7171" max="7171" width="3.54296875" style="95" customWidth="1"/>
    <col min="7172" max="7172" width="36.54296875" style="95" customWidth="1"/>
    <col min="7173" max="7173" width="7" style="95" customWidth="1"/>
    <col min="7174" max="7175" width="10.7265625" style="95" customWidth="1"/>
    <col min="7176" max="7176" width="12.1796875" style="95" customWidth="1"/>
    <col min="7177" max="7177" width="11.26953125" style="95" customWidth="1"/>
    <col min="7178" max="7178" width="1.453125" style="95" customWidth="1"/>
    <col min="7179" max="7424" width="9.1796875" style="95"/>
    <col min="7425" max="7425" width="1.453125" style="95" customWidth="1"/>
    <col min="7426" max="7426" width="5.54296875" style="95" customWidth="1"/>
    <col min="7427" max="7427" width="3.54296875" style="95" customWidth="1"/>
    <col min="7428" max="7428" width="36.54296875" style="95" customWidth="1"/>
    <col min="7429" max="7429" width="7" style="95" customWidth="1"/>
    <col min="7430" max="7431" width="10.7265625" style="95" customWidth="1"/>
    <col min="7432" max="7432" width="12.1796875" style="95" customWidth="1"/>
    <col min="7433" max="7433" width="11.26953125" style="95" customWidth="1"/>
    <col min="7434" max="7434" width="1.453125" style="95" customWidth="1"/>
    <col min="7435" max="7680" width="9.1796875" style="95"/>
    <col min="7681" max="7681" width="1.453125" style="95" customWidth="1"/>
    <col min="7682" max="7682" width="5.54296875" style="95" customWidth="1"/>
    <col min="7683" max="7683" width="3.54296875" style="95" customWidth="1"/>
    <col min="7684" max="7684" width="36.54296875" style="95" customWidth="1"/>
    <col min="7685" max="7685" width="7" style="95" customWidth="1"/>
    <col min="7686" max="7687" width="10.7265625" style="95" customWidth="1"/>
    <col min="7688" max="7688" width="12.1796875" style="95" customWidth="1"/>
    <col min="7689" max="7689" width="11.26953125" style="95" customWidth="1"/>
    <col min="7690" max="7690" width="1.453125" style="95" customWidth="1"/>
    <col min="7691" max="7936" width="9.1796875" style="95"/>
    <col min="7937" max="7937" width="1.453125" style="95" customWidth="1"/>
    <col min="7938" max="7938" width="5.54296875" style="95" customWidth="1"/>
    <col min="7939" max="7939" width="3.54296875" style="95" customWidth="1"/>
    <col min="7940" max="7940" width="36.54296875" style="95" customWidth="1"/>
    <col min="7941" max="7941" width="7" style="95" customWidth="1"/>
    <col min="7942" max="7943" width="10.7265625" style="95" customWidth="1"/>
    <col min="7944" max="7944" width="12.1796875" style="95" customWidth="1"/>
    <col min="7945" max="7945" width="11.26953125" style="95" customWidth="1"/>
    <col min="7946" max="7946" width="1.453125" style="95" customWidth="1"/>
    <col min="7947" max="8192" width="9.1796875" style="95"/>
    <col min="8193" max="8193" width="1.453125" style="95" customWidth="1"/>
    <col min="8194" max="8194" width="5.54296875" style="95" customWidth="1"/>
    <col min="8195" max="8195" width="3.54296875" style="95" customWidth="1"/>
    <col min="8196" max="8196" width="36.54296875" style="95" customWidth="1"/>
    <col min="8197" max="8197" width="7" style="95" customWidth="1"/>
    <col min="8198" max="8199" width="10.7265625" style="95" customWidth="1"/>
    <col min="8200" max="8200" width="12.1796875" style="95" customWidth="1"/>
    <col min="8201" max="8201" width="11.26953125" style="95" customWidth="1"/>
    <col min="8202" max="8202" width="1.453125" style="95" customWidth="1"/>
    <col min="8203" max="8448" width="9.1796875" style="95"/>
    <col min="8449" max="8449" width="1.453125" style="95" customWidth="1"/>
    <col min="8450" max="8450" width="5.54296875" style="95" customWidth="1"/>
    <col min="8451" max="8451" width="3.54296875" style="95" customWidth="1"/>
    <col min="8452" max="8452" width="36.54296875" style="95" customWidth="1"/>
    <col min="8453" max="8453" width="7" style="95" customWidth="1"/>
    <col min="8454" max="8455" width="10.7265625" style="95" customWidth="1"/>
    <col min="8456" max="8456" width="12.1796875" style="95" customWidth="1"/>
    <col min="8457" max="8457" width="11.26953125" style="95" customWidth="1"/>
    <col min="8458" max="8458" width="1.453125" style="95" customWidth="1"/>
    <col min="8459" max="8704" width="9.1796875" style="95"/>
    <col min="8705" max="8705" width="1.453125" style="95" customWidth="1"/>
    <col min="8706" max="8706" width="5.54296875" style="95" customWidth="1"/>
    <col min="8707" max="8707" width="3.54296875" style="95" customWidth="1"/>
    <col min="8708" max="8708" width="36.54296875" style="95" customWidth="1"/>
    <col min="8709" max="8709" width="7" style="95" customWidth="1"/>
    <col min="8710" max="8711" width="10.7265625" style="95" customWidth="1"/>
    <col min="8712" max="8712" width="12.1796875" style="95" customWidth="1"/>
    <col min="8713" max="8713" width="11.26953125" style="95" customWidth="1"/>
    <col min="8714" max="8714" width="1.453125" style="95" customWidth="1"/>
    <col min="8715" max="8960" width="9.1796875" style="95"/>
    <col min="8961" max="8961" width="1.453125" style="95" customWidth="1"/>
    <col min="8962" max="8962" width="5.54296875" style="95" customWidth="1"/>
    <col min="8963" max="8963" width="3.54296875" style="95" customWidth="1"/>
    <col min="8964" max="8964" width="36.54296875" style="95" customWidth="1"/>
    <col min="8965" max="8965" width="7" style="95" customWidth="1"/>
    <col min="8966" max="8967" width="10.7265625" style="95" customWidth="1"/>
    <col min="8968" max="8968" width="12.1796875" style="95" customWidth="1"/>
    <col min="8969" max="8969" width="11.26953125" style="95" customWidth="1"/>
    <col min="8970" max="8970" width="1.453125" style="95" customWidth="1"/>
    <col min="8971" max="9216" width="9.1796875" style="95"/>
    <col min="9217" max="9217" width="1.453125" style="95" customWidth="1"/>
    <col min="9218" max="9218" width="5.54296875" style="95" customWidth="1"/>
    <col min="9219" max="9219" width="3.54296875" style="95" customWidth="1"/>
    <col min="9220" max="9220" width="36.54296875" style="95" customWidth="1"/>
    <col min="9221" max="9221" width="7" style="95" customWidth="1"/>
    <col min="9222" max="9223" width="10.7265625" style="95" customWidth="1"/>
    <col min="9224" max="9224" width="12.1796875" style="95" customWidth="1"/>
    <col min="9225" max="9225" width="11.26953125" style="95" customWidth="1"/>
    <col min="9226" max="9226" width="1.453125" style="95" customWidth="1"/>
    <col min="9227" max="9472" width="9.1796875" style="95"/>
    <col min="9473" max="9473" width="1.453125" style="95" customWidth="1"/>
    <col min="9474" max="9474" width="5.54296875" style="95" customWidth="1"/>
    <col min="9475" max="9475" width="3.54296875" style="95" customWidth="1"/>
    <col min="9476" max="9476" width="36.54296875" style="95" customWidth="1"/>
    <col min="9477" max="9477" width="7" style="95" customWidth="1"/>
    <col min="9478" max="9479" width="10.7265625" style="95" customWidth="1"/>
    <col min="9480" max="9480" width="12.1796875" style="95" customWidth="1"/>
    <col min="9481" max="9481" width="11.26953125" style="95" customWidth="1"/>
    <col min="9482" max="9482" width="1.453125" style="95" customWidth="1"/>
    <col min="9483" max="9728" width="9.1796875" style="95"/>
    <col min="9729" max="9729" width="1.453125" style="95" customWidth="1"/>
    <col min="9730" max="9730" width="5.54296875" style="95" customWidth="1"/>
    <col min="9731" max="9731" width="3.54296875" style="95" customWidth="1"/>
    <col min="9732" max="9732" width="36.54296875" style="95" customWidth="1"/>
    <col min="9733" max="9733" width="7" style="95" customWidth="1"/>
    <col min="9734" max="9735" width="10.7265625" style="95" customWidth="1"/>
    <col min="9736" max="9736" width="12.1796875" style="95" customWidth="1"/>
    <col min="9737" max="9737" width="11.26953125" style="95" customWidth="1"/>
    <col min="9738" max="9738" width="1.453125" style="95" customWidth="1"/>
    <col min="9739" max="9984" width="9.1796875" style="95"/>
    <col min="9985" max="9985" width="1.453125" style="95" customWidth="1"/>
    <col min="9986" max="9986" width="5.54296875" style="95" customWidth="1"/>
    <col min="9987" max="9987" width="3.54296875" style="95" customWidth="1"/>
    <col min="9988" max="9988" width="36.54296875" style="95" customWidth="1"/>
    <col min="9989" max="9989" width="7" style="95" customWidth="1"/>
    <col min="9990" max="9991" width="10.7265625" style="95" customWidth="1"/>
    <col min="9992" max="9992" width="12.1796875" style="95" customWidth="1"/>
    <col min="9993" max="9993" width="11.26953125" style="95" customWidth="1"/>
    <col min="9994" max="9994" width="1.453125" style="95" customWidth="1"/>
    <col min="9995" max="10240" width="9.1796875" style="95"/>
    <col min="10241" max="10241" width="1.453125" style="95" customWidth="1"/>
    <col min="10242" max="10242" width="5.54296875" style="95" customWidth="1"/>
    <col min="10243" max="10243" width="3.54296875" style="95" customWidth="1"/>
    <col min="10244" max="10244" width="36.54296875" style="95" customWidth="1"/>
    <col min="10245" max="10245" width="7" style="95" customWidth="1"/>
    <col min="10246" max="10247" width="10.7265625" style="95" customWidth="1"/>
    <col min="10248" max="10248" width="12.1796875" style="95" customWidth="1"/>
    <col min="10249" max="10249" width="11.26953125" style="95" customWidth="1"/>
    <col min="10250" max="10250" width="1.453125" style="95" customWidth="1"/>
    <col min="10251" max="10496" width="9.1796875" style="95"/>
    <col min="10497" max="10497" width="1.453125" style="95" customWidth="1"/>
    <col min="10498" max="10498" width="5.54296875" style="95" customWidth="1"/>
    <col min="10499" max="10499" width="3.54296875" style="95" customWidth="1"/>
    <col min="10500" max="10500" width="36.54296875" style="95" customWidth="1"/>
    <col min="10501" max="10501" width="7" style="95" customWidth="1"/>
    <col min="10502" max="10503" width="10.7265625" style="95" customWidth="1"/>
    <col min="10504" max="10504" width="12.1796875" style="95" customWidth="1"/>
    <col min="10505" max="10505" width="11.26953125" style="95" customWidth="1"/>
    <col min="10506" max="10506" width="1.453125" style="95" customWidth="1"/>
    <col min="10507" max="10752" width="9.1796875" style="95"/>
    <col min="10753" max="10753" width="1.453125" style="95" customWidth="1"/>
    <col min="10754" max="10754" width="5.54296875" style="95" customWidth="1"/>
    <col min="10755" max="10755" width="3.54296875" style="95" customWidth="1"/>
    <col min="10756" max="10756" width="36.54296875" style="95" customWidth="1"/>
    <col min="10757" max="10757" width="7" style="95" customWidth="1"/>
    <col min="10758" max="10759" width="10.7265625" style="95" customWidth="1"/>
    <col min="10760" max="10760" width="12.1796875" style="95" customWidth="1"/>
    <col min="10761" max="10761" width="11.26953125" style="95" customWidth="1"/>
    <col min="10762" max="10762" width="1.453125" style="95" customWidth="1"/>
    <col min="10763" max="11008" width="9.1796875" style="95"/>
    <col min="11009" max="11009" width="1.453125" style="95" customWidth="1"/>
    <col min="11010" max="11010" width="5.54296875" style="95" customWidth="1"/>
    <col min="11011" max="11011" width="3.54296875" style="95" customWidth="1"/>
    <col min="11012" max="11012" width="36.54296875" style="95" customWidth="1"/>
    <col min="11013" max="11013" width="7" style="95" customWidth="1"/>
    <col min="11014" max="11015" width="10.7265625" style="95" customWidth="1"/>
    <col min="11016" max="11016" width="12.1796875" style="95" customWidth="1"/>
    <col min="11017" max="11017" width="11.26953125" style="95" customWidth="1"/>
    <col min="11018" max="11018" width="1.453125" style="95" customWidth="1"/>
    <col min="11019" max="11264" width="9.1796875" style="95"/>
    <col min="11265" max="11265" width="1.453125" style="95" customWidth="1"/>
    <col min="11266" max="11266" width="5.54296875" style="95" customWidth="1"/>
    <col min="11267" max="11267" width="3.54296875" style="95" customWidth="1"/>
    <col min="11268" max="11268" width="36.54296875" style="95" customWidth="1"/>
    <col min="11269" max="11269" width="7" style="95" customWidth="1"/>
    <col min="11270" max="11271" width="10.7265625" style="95" customWidth="1"/>
    <col min="11272" max="11272" width="12.1796875" style="95" customWidth="1"/>
    <col min="11273" max="11273" width="11.26953125" style="95" customWidth="1"/>
    <col min="11274" max="11274" width="1.453125" style="95" customWidth="1"/>
    <col min="11275" max="11520" width="9.1796875" style="95"/>
    <col min="11521" max="11521" width="1.453125" style="95" customWidth="1"/>
    <col min="11522" max="11522" width="5.54296875" style="95" customWidth="1"/>
    <col min="11523" max="11523" width="3.54296875" style="95" customWidth="1"/>
    <col min="11524" max="11524" width="36.54296875" style="95" customWidth="1"/>
    <col min="11525" max="11525" width="7" style="95" customWidth="1"/>
    <col min="11526" max="11527" width="10.7265625" style="95" customWidth="1"/>
    <col min="11528" max="11528" width="12.1796875" style="95" customWidth="1"/>
    <col min="11529" max="11529" width="11.26953125" style="95" customWidth="1"/>
    <col min="11530" max="11530" width="1.453125" style="95" customWidth="1"/>
    <col min="11531" max="11776" width="9.1796875" style="95"/>
    <col min="11777" max="11777" width="1.453125" style="95" customWidth="1"/>
    <col min="11778" max="11778" width="5.54296875" style="95" customWidth="1"/>
    <col min="11779" max="11779" width="3.54296875" style="95" customWidth="1"/>
    <col min="11780" max="11780" width="36.54296875" style="95" customWidth="1"/>
    <col min="11781" max="11781" width="7" style="95" customWidth="1"/>
    <col min="11782" max="11783" width="10.7265625" style="95" customWidth="1"/>
    <col min="11784" max="11784" width="12.1796875" style="95" customWidth="1"/>
    <col min="11785" max="11785" width="11.26953125" style="95" customWidth="1"/>
    <col min="11786" max="11786" width="1.453125" style="95" customWidth="1"/>
    <col min="11787" max="12032" width="9.1796875" style="95"/>
    <col min="12033" max="12033" width="1.453125" style="95" customWidth="1"/>
    <col min="12034" max="12034" width="5.54296875" style="95" customWidth="1"/>
    <col min="12035" max="12035" width="3.54296875" style="95" customWidth="1"/>
    <col min="12036" max="12036" width="36.54296875" style="95" customWidth="1"/>
    <col min="12037" max="12037" width="7" style="95" customWidth="1"/>
    <col min="12038" max="12039" width="10.7265625" style="95" customWidth="1"/>
    <col min="12040" max="12040" width="12.1796875" style="95" customWidth="1"/>
    <col min="12041" max="12041" width="11.26953125" style="95" customWidth="1"/>
    <col min="12042" max="12042" width="1.453125" style="95" customWidth="1"/>
    <col min="12043" max="12288" width="9.1796875" style="95"/>
    <col min="12289" max="12289" width="1.453125" style="95" customWidth="1"/>
    <col min="12290" max="12290" width="5.54296875" style="95" customWidth="1"/>
    <col min="12291" max="12291" width="3.54296875" style="95" customWidth="1"/>
    <col min="12292" max="12292" width="36.54296875" style="95" customWidth="1"/>
    <col min="12293" max="12293" width="7" style="95" customWidth="1"/>
    <col min="12294" max="12295" width="10.7265625" style="95" customWidth="1"/>
    <col min="12296" max="12296" width="12.1796875" style="95" customWidth="1"/>
    <col min="12297" max="12297" width="11.26953125" style="95" customWidth="1"/>
    <col min="12298" max="12298" width="1.453125" style="95" customWidth="1"/>
    <col min="12299" max="12544" width="9.1796875" style="95"/>
    <col min="12545" max="12545" width="1.453125" style="95" customWidth="1"/>
    <col min="12546" max="12546" width="5.54296875" style="95" customWidth="1"/>
    <col min="12547" max="12547" width="3.54296875" style="95" customWidth="1"/>
    <col min="12548" max="12548" width="36.54296875" style="95" customWidth="1"/>
    <col min="12549" max="12549" width="7" style="95" customWidth="1"/>
    <col min="12550" max="12551" width="10.7265625" style="95" customWidth="1"/>
    <col min="12552" max="12552" width="12.1796875" style="95" customWidth="1"/>
    <col min="12553" max="12553" width="11.26953125" style="95" customWidth="1"/>
    <col min="12554" max="12554" width="1.453125" style="95" customWidth="1"/>
    <col min="12555" max="12800" width="9.1796875" style="95"/>
    <col min="12801" max="12801" width="1.453125" style="95" customWidth="1"/>
    <col min="12802" max="12802" width="5.54296875" style="95" customWidth="1"/>
    <col min="12803" max="12803" width="3.54296875" style="95" customWidth="1"/>
    <col min="12804" max="12804" width="36.54296875" style="95" customWidth="1"/>
    <col min="12805" max="12805" width="7" style="95" customWidth="1"/>
    <col min="12806" max="12807" width="10.7265625" style="95" customWidth="1"/>
    <col min="12808" max="12808" width="12.1796875" style="95" customWidth="1"/>
    <col min="12809" max="12809" width="11.26953125" style="95" customWidth="1"/>
    <col min="12810" max="12810" width="1.453125" style="95" customWidth="1"/>
    <col min="12811" max="13056" width="9.1796875" style="95"/>
    <col min="13057" max="13057" width="1.453125" style="95" customWidth="1"/>
    <col min="13058" max="13058" width="5.54296875" style="95" customWidth="1"/>
    <col min="13059" max="13059" width="3.54296875" style="95" customWidth="1"/>
    <col min="13060" max="13060" width="36.54296875" style="95" customWidth="1"/>
    <col min="13061" max="13061" width="7" style="95" customWidth="1"/>
    <col min="13062" max="13063" width="10.7265625" style="95" customWidth="1"/>
    <col min="13064" max="13064" width="12.1796875" style="95" customWidth="1"/>
    <col min="13065" max="13065" width="11.26953125" style="95" customWidth="1"/>
    <col min="13066" max="13066" width="1.453125" style="95" customWidth="1"/>
    <col min="13067" max="13312" width="9.1796875" style="95"/>
    <col min="13313" max="13313" width="1.453125" style="95" customWidth="1"/>
    <col min="13314" max="13314" width="5.54296875" style="95" customWidth="1"/>
    <col min="13315" max="13315" width="3.54296875" style="95" customWidth="1"/>
    <col min="13316" max="13316" width="36.54296875" style="95" customWidth="1"/>
    <col min="13317" max="13317" width="7" style="95" customWidth="1"/>
    <col min="13318" max="13319" width="10.7265625" style="95" customWidth="1"/>
    <col min="13320" max="13320" width="12.1796875" style="95" customWidth="1"/>
    <col min="13321" max="13321" width="11.26953125" style="95" customWidth="1"/>
    <col min="13322" max="13322" width="1.453125" style="95" customWidth="1"/>
    <col min="13323" max="13568" width="9.1796875" style="95"/>
    <col min="13569" max="13569" width="1.453125" style="95" customWidth="1"/>
    <col min="13570" max="13570" width="5.54296875" style="95" customWidth="1"/>
    <col min="13571" max="13571" width="3.54296875" style="95" customWidth="1"/>
    <col min="13572" max="13572" width="36.54296875" style="95" customWidth="1"/>
    <col min="13573" max="13573" width="7" style="95" customWidth="1"/>
    <col min="13574" max="13575" width="10.7265625" style="95" customWidth="1"/>
    <col min="13576" max="13576" width="12.1796875" style="95" customWidth="1"/>
    <col min="13577" max="13577" width="11.26953125" style="95" customWidth="1"/>
    <col min="13578" max="13578" width="1.453125" style="95" customWidth="1"/>
    <col min="13579" max="13824" width="9.1796875" style="95"/>
    <col min="13825" max="13825" width="1.453125" style="95" customWidth="1"/>
    <col min="13826" max="13826" width="5.54296875" style="95" customWidth="1"/>
    <col min="13827" max="13827" width="3.54296875" style="95" customWidth="1"/>
    <col min="13828" max="13828" width="36.54296875" style="95" customWidth="1"/>
    <col min="13829" max="13829" width="7" style="95" customWidth="1"/>
    <col min="13830" max="13831" width="10.7265625" style="95" customWidth="1"/>
    <col min="13832" max="13832" width="12.1796875" style="95" customWidth="1"/>
    <col min="13833" max="13833" width="11.26953125" style="95" customWidth="1"/>
    <col min="13834" max="13834" width="1.453125" style="95" customWidth="1"/>
    <col min="13835" max="14080" width="9.1796875" style="95"/>
    <col min="14081" max="14081" width="1.453125" style="95" customWidth="1"/>
    <col min="14082" max="14082" width="5.54296875" style="95" customWidth="1"/>
    <col min="14083" max="14083" width="3.54296875" style="95" customWidth="1"/>
    <col min="14084" max="14084" width="36.54296875" style="95" customWidth="1"/>
    <col min="14085" max="14085" width="7" style="95" customWidth="1"/>
    <col min="14086" max="14087" width="10.7265625" style="95" customWidth="1"/>
    <col min="14088" max="14088" width="12.1796875" style="95" customWidth="1"/>
    <col min="14089" max="14089" width="11.26953125" style="95" customWidth="1"/>
    <col min="14090" max="14090" width="1.453125" style="95" customWidth="1"/>
    <col min="14091" max="14336" width="9.1796875" style="95"/>
    <col min="14337" max="14337" width="1.453125" style="95" customWidth="1"/>
    <col min="14338" max="14338" width="5.54296875" style="95" customWidth="1"/>
    <col min="14339" max="14339" width="3.54296875" style="95" customWidth="1"/>
    <col min="14340" max="14340" width="36.54296875" style="95" customWidth="1"/>
    <col min="14341" max="14341" width="7" style="95" customWidth="1"/>
    <col min="14342" max="14343" width="10.7265625" style="95" customWidth="1"/>
    <col min="14344" max="14344" width="12.1796875" style="95" customWidth="1"/>
    <col min="14345" max="14345" width="11.26953125" style="95" customWidth="1"/>
    <col min="14346" max="14346" width="1.453125" style="95" customWidth="1"/>
    <col min="14347" max="14592" width="9.1796875" style="95"/>
    <col min="14593" max="14593" width="1.453125" style="95" customWidth="1"/>
    <col min="14594" max="14594" width="5.54296875" style="95" customWidth="1"/>
    <col min="14595" max="14595" width="3.54296875" style="95" customWidth="1"/>
    <col min="14596" max="14596" width="36.54296875" style="95" customWidth="1"/>
    <col min="14597" max="14597" width="7" style="95" customWidth="1"/>
    <col min="14598" max="14599" width="10.7265625" style="95" customWidth="1"/>
    <col min="14600" max="14600" width="12.1796875" style="95" customWidth="1"/>
    <col min="14601" max="14601" width="11.26953125" style="95" customWidth="1"/>
    <col min="14602" max="14602" width="1.453125" style="95" customWidth="1"/>
    <col min="14603" max="14848" width="9.1796875" style="95"/>
    <col min="14849" max="14849" width="1.453125" style="95" customWidth="1"/>
    <col min="14850" max="14850" width="5.54296875" style="95" customWidth="1"/>
    <col min="14851" max="14851" width="3.54296875" style="95" customWidth="1"/>
    <col min="14852" max="14852" width="36.54296875" style="95" customWidth="1"/>
    <col min="14853" max="14853" width="7" style="95" customWidth="1"/>
    <col min="14854" max="14855" width="10.7265625" style="95" customWidth="1"/>
    <col min="14856" max="14856" width="12.1796875" style="95" customWidth="1"/>
    <col min="14857" max="14857" width="11.26953125" style="95" customWidth="1"/>
    <col min="14858" max="14858" width="1.453125" style="95" customWidth="1"/>
    <col min="14859" max="15104" width="9.1796875" style="95"/>
    <col min="15105" max="15105" width="1.453125" style="95" customWidth="1"/>
    <col min="15106" max="15106" width="5.54296875" style="95" customWidth="1"/>
    <col min="15107" max="15107" width="3.54296875" style="95" customWidth="1"/>
    <col min="15108" max="15108" width="36.54296875" style="95" customWidth="1"/>
    <col min="15109" max="15109" width="7" style="95" customWidth="1"/>
    <col min="15110" max="15111" width="10.7265625" style="95" customWidth="1"/>
    <col min="15112" max="15112" width="12.1796875" style="95" customWidth="1"/>
    <col min="15113" max="15113" width="11.26953125" style="95" customWidth="1"/>
    <col min="15114" max="15114" width="1.453125" style="95" customWidth="1"/>
    <col min="15115" max="15360" width="9.1796875" style="95"/>
    <col min="15361" max="15361" width="1.453125" style="95" customWidth="1"/>
    <col min="15362" max="15362" width="5.54296875" style="95" customWidth="1"/>
    <col min="15363" max="15363" width="3.54296875" style="95" customWidth="1"/>
    <col min="15364" max="15364" width="36.54296875" style="95" customWidth="1"/>
    <col min="15365" max="15365" width="7" style="95" customWidth="1"/>
    <col min="15366" max="15367" width="10.7265625" style="95" customWidth="1"/>
    <col min="15368" max="15368" width="12.1796875" style="95" customWidth="1"/>
    <col min="15369" max="15369" width="11.26953125" style="95" customWidth="1"/>
    <col min="15370" max="15370" width="1.453125" style="95" customWidth="1"/>
    <col min="15371" max="15616" width="9.1796875" style="95"/>
    <col min="15617" max="15617" width="1.453125" style="95" customWidth="1"/>
    <col min="15618" max="15618" width="5.54296875" style="95" customWidth="1"/>
    <col min="15619" max="15619" width="3.54296875" style="95" customWidth="1"/>
    <col min="15620" max="15620" width="36.54296875" style="95" customWidth="1"/>
    <col min="15621" max="15621" width="7" style="95" customWidth="1"/>
    <col min="15622" max="15623" width="10.7265625" style="95" customWidth="1"/>
    <col min="15624" max="15624" width="12.1796875" style="95" customWidth="1"/>
    <col min="15625" max="15625" width="11.26953125" style="95" customWidth="1"/>
    <col min="15626" max="15626" width="1.453125" style="95" customWidth="1"/>
    <col min="15627" max="15872" width="9.1796875" style="95"/>
    <col min="15873" max="15873" width="1.453125" style="95" customWidth="1"/>
    <col min="15874" max="15874" width="5.54296875" style="95" customWidth="1"/>
    <col min="15875" max="15875" width="3.54296875" style="95" customWidth="1"/>
    <col min="15876" max="15876" width="36.54296875" style="95" customWidth="1"/>
    <col min="15877" max="15877" width="7" style="95" customWidth="1"/>
    <col min="15878" max="15879" width="10.7265625" style="95" customWidth="1"/>
    <col min="15880" max="15880" width="12.1796875" style="95" customWidth="1"/>
    <col min="15881" max="15881" width="11.26953125" style="95" customWidth="1"/>
    <col min="15882" max="15882" width="1.453125" style="95" customWidth="1"/>
    <col min="15883" max="16128" width="9.1796875" style="95"/>
    <col min="16129" max="16129" width="1.453125" style="95" customWidth="1"/>
    <col min="16130" max="16130" width="5.54296875" style="95" customWidth="1"/>
    <col min="16131" max="16131" width="3.54296875" style="95" customWidth="1"/>
    <col min="16132" max="16132" width="36.54296875" style="95" customWidth="1"/>
    <col min="16133" max="16133" width="7" style="95" customWidth="1"/>
    <col min="16134" max="16135" width="10.7265625" style="95" customWidth="1"/>
    <col min="16136" max="16136" width="12.1796875" style="95" customWidth="1"/>
    <col min="16137" max="16137" width="11.26953125" style="95" customWidth="1"/>
    <col min="16138" max="16138" width="1.453125" style="95" customWidth="1"/>
    <col min="16139" max="16384" width="9.1796875" style="95"/>
  </cols>
  <sheetData>
    <row r="1" spans="1:10" ht="15" customHeight="1" x14ac:dyDescent="0.35">
      <c r="A1" s="92" t="str">
        <f>'9-2 Pur Jrnl'!A1</f>
        <v xml:space="preserve">work together 9-2 thru 9-5 </v>
      </c>
      <c r="B1" s="92"/>
      <c r="C1" s="92"/>
      <c r="D1" s="92"/>
      <c r="E1" s="93" t="s">
        <v>9</v>
      </c>
      <c r="F1" s="166" t="s">
        <v>73</v>
      </c>
      <c r="G1" s="94"/>
      <c r="H1" s="92"/>
      <c r="I1" s="92"/>
      <c r="J1" s="92"/>
    </row>
    <row r="2" spans="1:10" ht="15" customHeight="1" x14ac:dyDescent="0.35">
      <c r="A2" s="92" t="s">
        <v>41</v>
      </c>
      <c r="B2" s="92"/>
      <c r="C2" s="92"/>
      <c r="D2" s="92"/>
      <c r="E2" s="92"/>
      <c r="F2" s="92"/>
      <c r="G2" s="92"/>
      <c r="H2" s="92"/>
      <c r="I2" s="92"/>
      <c r="J2" s="92"/>
    </row>
    <row r="3" spans="1:10" ht="15" customHeight="1" x14ac:dyDescent="0.35">
      <c r="A3" s="92"/>
      <c r="B3" s="92"/>
      <c r="C3" s="92"/>
      <c r="D3" s="92"/>
      <c r="E3" s="92"/>
      <c r="F3" s="92"/>
      <c r="G3" s="92"/>
      <c r="H3" s="92"/>
      <c r="I3" s="92"/>
      <c r="J3" s="92"/>
    </row>
    <row r="5" spans="1:10" ht="12.75" customHeight="1" x14ac:dyDescent="0.3">
      <c r="B5" s="96"/>
      <c r="C5" s="96" t="s">
        <v>44</v>
      </c>
      <c r="D5" s="97" t="s">
        <v>45</v>
      </c>
      <c r="F5" s="96"/>
      <c r="G5" s="96"/>
      <c r="H5" s="96" t="s">
        <v>46</v>
      </c>
      <c r="I5" s="97">
        <v>1110</v>
      </c>
    </row>
    <row r="6" spans="1:10" ht="5.15" customHeight="1" thickBot="1" x14ac:dyDescent="0.25">
      <c r="A6" s="98"/>
      <c r="B6" s="98"/>
      <c r="C6" s="98"/>
      <c r="D6" s="98"/>
      <c r="E6" s="98"/>
      <c r="F6" s="98"/>
      <c r="G6" s="98"/>
      <c r="H6" s="98"/>
      <c r="I6" s="98"/>
      <c r="J6" s="98"/>
    </row>
    <row r="7" spans="1:10" ht="10.5" customHeight="1" thickTop="1" x14ac:dyDescent="0.25">
      <c r="A7" s="99"/>
      <c r="B7" s="100"/>
      <c r="D7" s="101"/>
      <c r="E7" s="101" t="s">
        <v>2</v>
      </c>
      <c r="F7" s="101"/>
      <c r="G7" s="101"/>
      <c r="H7" s="102" t="s">
        <v>8</v>
      </c>
      <c r="I7" s="103"/>
      <c r="J7" s="104"/>
    </row>
    <row r="8" spans="1:10" ht="16.5" customHeight="1" thickBot="1" x14ac:dyDescent="0.3">
      <c r="A8" s="105"/>
      <c r="B8" s="106" t="s">
        <v>4</v>
      </c>
      <c r="C8" s="107"/>
      <c r="D8" s="108" t="s">
        <v>5</v>
      </c>
      <c r="E8" s="108" t="s">
        <v>6</v>
      </c>
      <c r="F8" s="108" t="s">
        <v>7</v>
      </c>
      <c r="G8" s="108" t="s">
        <v>3</v>
      </c>
      <c r="H8" s="108" t="s">
        <v>7</v>
      </c>
      <c r="I8" s="108" t="s">
        <v>3</v>
      </c>
      <c r="J8" s="109"/>
    </row>
    <row r="9" spans="1:10" ht="16" customHeight="1" thickTop="1" x14ac:dyDescent="0.3">
      <c r="A9" s="110"/>
      <c r="B9" s="111" t="s">
        <v>10</v>
      </c>
      <c r="C9" s="112">
        <v>1</v>
      </c>
      <c r="D9" s="113" t="s">
        <v>11</v>
      </c>
      <c r="E9" s="130" t="s">
        <v>48</v>
      </c>
      <c r="F9" s="114"/>
      <c r="G9" s="114"/>
      <c r="H9" s="114">
        <v>16455.189999999999</v>
      </c>
      <c r="I9" s="114"/>
      <c r="J9" s="115"/>
    </row>
    <row r="10" spans="1:10" ht="16" customHeight="1" x14ac:dyDescent="0.3">
      <c r="A10" s="110"/>
      <c r="B10" s="111"/>
      <c r="C10" s="112">
        <v>31</v>
      </c>
      <c r="D10" s="113"/>
      <c r="E10" s="112" t="s">
        <v>78</v>
      </c>
      <c r="F10" s="114"/>
      <c r="G10" s="114">
        <v>3950.22</v>
      </c>
      <c r="H10" s="114">
        <f>H9-G10</f>
        <v>12504.97</v>
      </c>
      <c r="I10" s="114"/>
      <c r="J10" s="115"/>
    </row>
    <row r="11" spans="1:10" ht="16" customHeight="1" x14ac:dyDescent="0.3">
      <c r="A11" s="110"/>
      <c r="B11" s="111"/>
      <c r="C11" s="112"/>
      <c r="D11" s="113"/>
      <c r="E11" s="112"/>
      <c r="F11" s="114"/>
      <c r="G11" s="114"/>
      <c r="H11" s="114"/>
      <c r="I11" s="114"/>
      <c r="J11" s="115"/>
    </row>
    <row r="14" spans="1:10" ht="12.75" customHeight="1" x14ac:dyDescent="0.3">
      <c r="B14" s="96"/>
      <c r="C14" s="96" t="s">
        <v>44</v>
      </c>
      <c r="D14" s="97" t="s">
        <v>36</v>
      </c>
      <c r="G14" s="96"/>
      <c r="H14" s="96" t="s">
        <v>46</v>
      </c>
      <c r="I14" s="97">
        <v>1145</v>
      </c>
    </row>
    <row r="15" spans="1:10" ht="10.5" thickBot="1" x14ac:dyDescent="0.25">
      <c r="A15" s="98"/>
      <c r="B15" s="98"/>
      <c r="C15" s="98"/>
      <c r="D15" s="98"/>
      <c r="E15" s="98"/>
      <c r="F15" s="98"/>
      <c r="G15" s="98"/>
      <c r="H15" s="98"/>
      <c r="I15" s="98"/>
      <c r="J15" s="98"/>
    </row>
    <row r="16" spans="1:10" ht="12" thickTop="1" x14ac:dyDescent="0.25">
      <c r="A16" s="99"/>
      <c r="B16" s="100"/>
      <c r="D16" s="101"/>
      <c r="E16" s="101" t="s">
        <v>2</v>
      </c>
      <c r="F16" s="101"/>
      <c r="G16" s="101"/>
      <c r="H16" s="102" t="s">
        <v>8</v>
      </c>
      <c r="I16" s="103"/>
      <c r="J16" s="104"/>
    </row>
    <row r="17" spans="1:10" ht="12" thickBot="1" x14ac:dyDescent="0.3">
      <c r="A17" s="105"/>
      <c r="B17" s="106" t="s">
        <v>4</v>
      </c>
      <c r="C17" s="107"/>
      <c r="D17" s="108" t="s">
        <v>5</v>
      </c>
      <c r="E17" s="108" t="s">
        <v>6</v>
      </c>
      <c r="F17" s="108" t="s">
        <v>7</v>
      </c>
      <c r="G17" s="108" t="s">
        <v>3</v>
      </c>
      <c r="H17" s="108" t="s">
        <v>7</v>
      </c>
      <c r="I17" s="108" t="s">
        <v>3</v>
      </c>
      <c r="J17" s="109"/>
    </row>
    <row r="18" spans="1:10" ht="16" customHeight="1" thickTop="1" x14ac:dyDescent="0.3">
      <c r="A18" s="110"/>
      <c r="B18" s="111" t="s">
        <v>10</v>
      </c>
      <c r="C18" s="112">
        <v>1</v>
      </c>
      <c r="D18" s="113"/>
      <c r="E18" s="130" t="s">
        <v>48</v>
      </c>
      <c r="F18" s="114"/>
      <c r="G18" s="114"/>
      <c r="H18" s="114">
        <v>3184.17</v>
      </c>
      <c r="I18" s="114"/>
      <c r="J18" s="115"/>
    </row>
    <row r="19" spans="1:10" ht="16" customHeight="1" x14ac:dyDescent="0.3">
      <c r="A19" s="110"/>
      <c r="B19" s="111"/>
      <c r="C19" s="112">
        <v>12</v>
      </c>
      <c r="D19" s="113"/>
      <c r="E19" s="112" t="s">
        <v>78</v>
      </c>
      <c r="F19" s="114">
        <v>64</v>
      </c>
      <c r="G19" s="114"/>
      <c r="H19" s="114">
        <f>H18+F19</f>
        <v>3248.17</v>
      </c>
      <c r="I19" s="114"/>
      <c r="J19" s="115"/>
    </row>
    <row r="20" spans="1:10" ht="16" customHeight="1" x14ac:dyDescent="0.35">
      <c r="A20" s="110"/>
      <c r="B20" s="111"/>
      <c r="C20" s="112">
        <v>31</v>
      </c>
      <c r="D20" s="113"/>
      <c r="E20" s="112" t="s">
        <v>78</v>
      </c>
      <c r="F20" s="38">
        <v>48.15</v>
      </c>
      <c r="G20" s="114"/>
      <c r="H20" s="114">
        <f>H19+F20</f>
        <v>3296.32</v>
      </c>
      <c r="I20" s="114"/>
      <c r="J20" s="115"/>
    </row>
    <row r="23" spans="1:10" ht="12.75" customHeight="1" x14ac:dyDescent="0.3">
      <c r="B23" s="96"/>
      <c r="C23" s="96" t="s">
        <v>44</v>
      </c>
      <c r="D23" s="97" t="s">
        <v>38</v>
      </c>
      <c r="F23" s="96"/>
      <c r="G23" s="96"/>
      <c r="H23" s="96" t="s">
        <v>46</v>
      </c>
      <c r="I23" s="97">
        <v>1150</v>
      </c>
    </row>
    <row r="24" spans="1:10" ht="10.5" thickBot="1" x14ac:dyDescent="0.25">
      <c r="A24" s="98"/>
      <c r="B24" s="98"/>
      <c r="C24" s="98"/>
      <c r="D24" s="98"/>
      <c r="E24" s="98"/>
      <c r="F24" s="98"/>
      <c r="G24" s="98"/>
      <c r="H24" s="98"/>
      <c r="I24" s="98"/>
      <c r="J24" s="98"/>
    </row>
    <row r="25" spans="1:10" ht="12" thickTop="1" x14ac:dyDescent="0.25">
      <c r="A25" s="99"/>
      <c r="B25" s="100"/>
      <c r="D25" s="101"/>
      <c r="E25" s="101" t="s">
        <v>2</v>
      </c>
      <c r="F25" s="101"/>
      <c r="G25" s="101"/>
      <c r="H25" s="102" t="s">
        <v>8</v>
      </c>
      <c r="I25" s="103"/>
      <c r="J25" s="104"/>
    </row>
    <row r="26" spans="1:10" ht="12" thickBot="1" x14ac:dyDescent="0.3">
      <c r="A26" s="105"/>
      <c r="B26" s="106" t="s">
        <v>4</v>
      </c>
      <c r="C26" s="107"/>
      <c r="D26" s="108" t="s">
        <v>5</v>
      </c>
      <c r="E26" s="108" t="s">
        <v>6</v>
      </c>
      <c r="F26" s="108" t="s">
        <v>7</v>
      </c>
      <c r="G26" s="108" t="s">
        <v>3</v>
      </c>
      <c r="H26" s="108" t="s">
        <v>7</v>
      </c>
      <c r="I26" s="108" t="s">
        <v>3</v>
      </c>
      <c r="J26" s="109"/>
    </row>
    <row r="27" spans="1:10" ht="16" customHeight="1" thickTop="1" x14ac:dyDescent="0.3">
      <c r="A27" s="110"/>
      <c r="B27" s="111" t="s">
        <v>10</v>
      </c>
      <c r="C27" s="112">
        <v>1</v>
      </c>
      <c r="D27" s="113" t="s">
        <v>11</v>
      </c>
      <c r="E27" s="130" t="s">
        <v>48</v>
      </c>
      <c r="F27" s="114"/>
      <c r="G27" s="114"/>
      <c r="H27" s="114">
        <v>4180.18</v>
      </c>
      <c r="I27" s="114"/>
      <c r="J27" s="115"/>
    </row>
    <row r="28" spans="1:10" ht="16" customHeight="1" x14ac:dyDescent="0.35">
      <c r="A28" s="110"/>
      <c r="B28" s="111"/>
      <c r="C28" s="112">
        <v>31</v>
      </c>
      <c r="D28" s="113"/>
      <c r="E28" s="112" t="s">
        <v>78</v>
      </c>
      <c r="F28" s="38">
        <v>57.18</v>
      </c>
      <c r="G28" s="114"/>
      <c r="H28" s="114">
        <f>H27+F28</f>
        <v>4237.3600000000006</v>
      </c>
      <c r="I28" s="114"/>
      <c r="J28" s="115"/>
    </row>
    <row r="29" spans="1:10" ht="16" customHeight="1" x14ac:dyDescent="0.3">
      <c r="A29" s="110"/>
      <c r="B29" s="111"/>
      <c r="C29" s="112"/>
      <c r="D29" s="113"/>
      <c r="E29" s="112"/>
      <c r="F29" s="114"/>
      <c r="G29" s="114"/>
      <c r="H29" s="114"/>
      <c r="I29" s="114"/>
      <c r="J29" s="115"/>
    </row>
    <row r="31" spans="1:10" x14ac:dyDescent="0.2">
      <c r="B31" s="131"/>
    </row>
    <row r="32" spans="1:10" ht="12.75" customHeight="1" x14ac:dyDescent="0.3">
      <c r="B32" s="96"/>
      <c r="C32" s="96" t="s">
        <v>44</v>
      </c>
      <c r="D32" s="97" t="s">
        <v>49</v>
      </c>
      <c r="F32" s="96"/>
      <c r="G32" s="96"/>
      <c r="H32" s="96" t="s">
        <v>46</v>
      </c>
      <c r="I32" s="97">
        <v>2110</v>
      </c>
    </row>
    <row r="33" spans="1:10" ht="10.5" thickBot="1" x14ac:dyDescent="0.25">
      <c r="A33" s="98"/>
      <c r="B33" s="98"/>
      <c r="C33" s="98"/>
      <c r="D33" s="98"/>
      <c r="E33" s="98"/>
      <c r="F33" s="98"/>
      <c r="G33" s="98"/>
      <c r="H33" s="98"/>
      <c r="I33" s="98"/>
      <c r="J33" s="98"/>
    </row>
    <row r="34" spans="1:10" ht="12" thickTop="1" x14ac:dyDescent="0.25">
      <c r="A34" s="99"/>
      <c r="B34" s="100"/>
      <c r="D34" s="101"/>
      <c r="E34" s="101" t="s">
        <v>2</v>
      </c>
      <c r="F34" s="101"/>
      <c r="G34" s="101"/>
      <c r="H34" s="102" t="s">
        <v>8</v>
      </c>
      <c r="I34" s="103"/>
      <c r="J34" s="104"/>
    </row>
    <row r="35" spans="1:10" ht="12" thickBot="1" x14ac:dyDescent="0.3">
      <c r="A35" s="105"/>
      <c r="B35" s="106" t="s">
        <v>4</v>
      </c>
      <c r="C35" s="107"/>
      <c r="D35" s="108" t="s">
        <v>5</v>
      </c>
      <c r="E35" s="108" t="s">
        <v>6</v>
      </c>
      <c r="F35" s="108" t="s">
        <v>7</v>
      </c>
      <c r="G35" s="108" t="s">
        <v>3</v>
      </c>
      <c r="H35" s="108" t="s">
        <v>7</v>
      </c>
      <c r="I35" s="108" t="s">
        <v>3</v>
      </c>
      <c r="J35" s="109"/>
    </row>
    <row r="36" spans="1:10" ht="16" customHeight="1" thickTop="1" x14ac:dyDescent="0.3">
      <c r="A36" s="110"/>
      <c r="B36" s="111" t="s">
        <v>10</v>
      </c>
      <c r="C36" s="112">
        <v>1</v>
      </c>
      <c r="D36" s="113"/>
      <c r="E36" s="130" t="s">
        <v>48</v>
      </c>
      <c r="F36" s="114"/>
      <c r="G36" s="114"/>
      <c r="H36" s="114"/>
      <c r="I36" s="114">
        <v>6133.53</v>
      </c>
      <c r="J36" s="115"/>
    </row>
    <row r="37" spans="1:10" ht="16" customHeight="1" thickBot="1" x14ac:dyDescent="0.35">
      <c r="A37" s="110"/>
      <c r="B37" s="111"/>
      <c r="C37" s="112">
        <v>12</v>
      </c>
      <c r="D37" s="113"/>
      <c r="E37" s="112" t="s">
        <v>78</v>
      </c>
      <c r="F37" s="114"/>
      <c r="G37" s="114">
        <v>4650</v>
      </c>
      <c r="H37" s="114"/>
      <c r="I37" s="114">
        <f>I36+G37</f>
        <v>10783.529999999999</v>
      </c>
      <c r="J37" s="115"/>
    </row>
    <row r="38" spans="1:10" ht="16" customHeight="1" thickBot="1" x14ac:dyDescent="0.4">
      <c r="A38" s="110"/>
      <c r="B38" s="111"/>
      <c r="C38" s="112">
        <v>31</v>
      </c>
      <c r="D38" s="113"/>
      <c r="E38" s="112" t="s">
        <v>78</v>
      </c>
      <c r="F38" s="87">
        <v>2066</v>
      </c>
      <c r="G38" s="114"/>
      <c r="H38" s="114"/>
      <c r="I38" s="114">
        <f>I37-F38</f>
        <v>8717.5299999999988</v>
      </c>
      <c r="J38" s="115"/>
    </row>
    <row r="39" spans="1:10" ht="10.5" thickTop="1" x14ac:dyDescent="0.2"/>
    <row r="41" spans="1:10" ht="14" x14ac:dyDescent="0.3">
      <c r="B41" s="96"/>
      <c r="C41" s="96" t="s">
        <v>44</v>
      </c>
      <c r="D41" s="97" t="s">
        <v>35</v>
      </c>
      <c r="F41" s="96"/>
      <c r="G41" s="96"/>
      <c r="H41" s="96" t="s">
        <v>46</v>
      </c>
      <c r="I41" s="97">
        <v>5110</v>
      </c>
    </row>
    <row r="42" spans="1:10" ht="10.5" thickBot="1" x14ac:dyDescent="0.25">
      <c r="A42" s="98"/>
      <c r="B42" s="98"/>
      <c r="C42" s="98"/>
      <c r="D42" s="98"/>
      <c r="E42" s="98"/>
      <c r="F42" s="98"/>
      <c r="G42" s="98"/>
      <c r="H42" s="98"/>
      <c r="I42" s="98"/>
      <c r="J42" s="98"/>
    </row>
    <row r="43" spans="1:10" ht="12" thickTop="1" x14ac:dyDescent="0.25">
      <c r="A43" s="99"/>
      <c r="B43" s="100"/>
      <c r="D43" s="101"/>
      <c r="E43" s="101" t="s">
        <v>2</v>
      </c>
      <c r="F43" s="101"/>
      <c r="G43" s="101"/>
      <c r="H43" s="102" t="s">
        <v>8</v>
      </c>
      <c r="I43" s="103"/>
      <c r="J43" s="104"/>
    </row>
    <row r="44" spans="1:10" ht="12" thickBot="1" x14ac:dyDescent="0.3">
      <c r="A44" s="105"/>
      <c r="B44" s="106" t="s">
        <v>4</v>
      </c>
      <c r="C44" s="107"/>
      <c r="D44" s="108" t="s">
        <v>5</v>
      </c>
      <c r="E44" s="108" t="s">
        <v>6</v>
      </c>
      <c r="F44" s="108" t="s">
        <v>7</v>
      </c>
      <c r="G44" s="108" t="s">
        <v>3</v>
      </c>
      <c r="H44" s="108" t="s">
        <v>7</v>
      </c>
      <c r="I44" s="108" t="s">
        <v>3</v>
      </c>
      <c r="J44" s="109"/>
    </row>
    <row r="45" spans="1:10" ht="16" customHeight="1" thickTop="1" x14ac:dyDescent="0.3">
      <c r="A45" s="110"/>
      <c r="B45" s="111" t="s">
        <v>10</v>
      </c>
      <c r="C45" s="112">
        <v>1</v>
      </c>
      <c r="D45" s="114" t="s">
        <v>11</v>
      </c>
      <c r="E45" s="130" t="s">
        <v>48</v>
      </c>
      <c r="F45" s="114"/>
      <c r="G45" s="114"/>
      <c r="H45" s="114">
        <v>89478.25</v>
      </c>
      <c r="I45" s="114"/>
      <c r="J45" s="115"/>
    </row>
    <row r="46" spans="1:10" ht="16" customHeight="1" x14ac:dyDescent="0.3">
      <c r="A46" s="116"/>
      <c r="B46" s="117"/>
      <c r="C46" s="118">
        <v>12</v>
      </c>
      <c r="D46" s="120"/>
      <c r="E46" s="129" t="s">
        <v>78</v>
      </c>
      <c r="F46" s="120">
        <v>4650</v>
      </c>
      <c r="G46" s="120"/>
      <c r="H46" s="120">
        <f>H45+F46</f>
        <v>94128.25</v>
      </c>
      <c r="I46" s="120"/>
      <c r="J46" s="121"/>
    </row>
    <row r="47" spans="1:10" ht="16" customHeight="1" x14ac:dyDescent="0.35">
      <c r="A47" s="116"/>
      <c r="B47" s="122"/>
      <c r="C47" s="123">
        <v>9</v>
      </c>
      <c r="D47" s="125"/>
      <c r="E47" s="125" t="s">
        <v>78</v>
      </c>
      <c r="F47" s="38">
        <v>1575</v>
      </c>
      <c r="G47" s="125"/>
      <c r="H47" s="125">
        <f>H46+F47</f>
        <v>95703.25</v>
      </c>
      <c r="I47" s="125"/>
      <c r="J47" s="121"/>
    </row>
    <row r="50" spans="1:10" ht="21.75" customHeight="1" x14ac:dyDescent="0.35">
      <c r="C50" s="93" t="s">
        <v>47</v>
      </c>
      <c r="D50" s="127" t="str">
        <f>F1</f>
        <v>Dhruv Patil</v>
      </c>
    </row>
    <row r="51" spans="1:10" ht="21.75" customHeight="1" x14ac:dyDescent="0.35">
      <c r="C51" s="93"/>
      <c r="D51" s="128"/>
    </row>
    <row r="52" spans="1:10" ht="14" x14ac:dyDescent="0.3">
      <c r="B52" s="96"/>
      <c r="C52" s="96" t="s">
        <v>44</v>
      </c>
      <c r="D52" s="97" t="s">
        <v>50</v>
      </c>
      <c r="F52" s="96"/>
      <c r="G52" s="96"/>
      <c r="H52" s="96" t="s">
        <v>46</v>
      </c>
      <c r="I52" s="97">
        <v>5120</v>
      </c>
    </row>
    <row r="53" spans="1:10" ht="10.5" thickBot="1" x14ac:dyDescent="0.25">
      <c r="A53" s="98"/>
      <c r="B53" s="98"/>
      <c r="C53" s="98"/>
      <c r="D53" s="98"/>
      <c r="E53" s="98"/>
      <c r="F53" s="98"/>
      <c r="G53" s="98"/>
      <c r="H53" s="98"/>
      <c r="I53" s="98"/>
      <c r="J53" s="98"/>
    </row>
    <row r="54" spans="1:10" ht="12" thickTop="1" x14ac:dyDescent="0.25">
      <c r="A54" s="99"/>
      <c r="B54" s="100"/>
      <c r="D54" s="101"/>
      <c r="E54" s="101" t="s">
        <v>2</v>
      </c>
      <c r="F54" s="101"/>
      <c r="G54" s="101"/>
      <c r="H54" s="102" t="s">
        <v>8</v>
      </c>
      <c r="I54" s="103"/>
      <c r="J54" s="104"/>
    </row>
    <row r="55" spans="1:10" ht="12" thickBot="1" x14ac:dyDescent="0.3">
      <c r="A55" s="105"/>
      <c r="B55" s="106" t="s">
        <v>4</v>
      </c>
      <c r="C55" s="107"/>
      <c r="D55" s="108" t="s">
        <v>5</v>
      </c>
      <c r="E55" s="108" t="s">
        <v>6</v>
      </c>
      <c r="F55" s="108" t="s">
        <v>7</v>
      </c>
      <c r="G55" s="108" t="s">
        <v>3</v>
      </c>
      <c r="H55" s="108" t="s">
        <v>7</v>
      </c>
      <c r="I55" s="108" t="s">
        <v>3</v>
      </c>
      <c r="J55" s="109"/>
    </row>
    <row r="56" spans="1:10" ht="16" customHeight="1" thickTop="1" x14ac:dyDescent="0.3">
      <c r="A56" s="110"/>
      <c r="B56" s="111" t="s">
        <v>10</v>
      </c>
      <c r="C56" s="112">
        <v>1</v>
      </c>
      <c r="D56" s="114" t="s">
        <v>11</v>
      </c>
      <c r="E56" s="130" t="s">
        <v>48</v>
      </c>
      <c r="F56" s="114"/>
      <c r="G56" s="114"/>
      <c r="H56" s="114"/>
      <c r="I56" s="114">
        <v>621.48</v>
      </c>
      <c r="J56" s="115"/>
    </row>
    <row r="57" spans="1:10" ht="16" customHeight="1" x14ac:dyDescent="0.35">
      <c r="A57" s="116"/>
      <c r="B57" s="117"/>
      <c r="C57" s="118">
        <v>32.799999999999997</v>
      </c>
      <c r="D57" s="120"/>
      <c r="E57" s="129" t="s">
        <v>78</v>
      </c>
      <c r="F57" s="120"/>
      <c r="G57" s="38">
        <v>32.799999999999997</v>
      </c>
      <c r="H57" s="120"/>
      <c r="I57" s="120">
        <f>I56+G57</f>
        <v>654.28</v>
      </c>
      <c r="J57" s="121"/>
    </row>
    <row r="58" spans="1:10" ht="16" customHeight="1" x14ac:dyDescent="0.3">
      <c r="A58" s="116"/>
      <c r="B58" s="122"/>
      <c r="C58" s="123"/>
      <c r="D58" s="125"/>
      <c r="E58" s="125"/>
      <c r="F58" s="125"/>
      <c r="G58" s="125"/>
      <c r="H58" s="125"/>
      <c r="I58" s="125"/>
      <c r="J58" s="121"/>
    </row>
    <row r="60" spans="1:10" ht="14" x14ac:dyDescent="0.3">
      <c r="B60" s="96"/>
      <c r="C60" s="96" t="s">
        <v>44</v>
      </c>
      <c r="D60" s="97" t="s">
        <v>40</v>
      </c>
      <c r="F60" s="96"/>
      <c r="G60" s="96"/>
      <c r="H60" s="96" t="s">
        <v>46</v>
      </c>
      <c r="I60" s="97">
        <v>6110</v>
      </c>
    </row>
    <row r="61" spans="1:10" ht="10.5" thickBot="1" x14ac:dyDescent="0.25">
      <c r="A61" s="98"/>
      <c r="B61" s="98"/>
      <c r="C61" s="98"/>
      <c r="D61" s="98"/>
      <c r="E61" s="98"/>
      <c r="F61" s="98"/>
      <c r="G61" s="98"/>
      <c r="H61" s="98"/>
      <c r="I61" s="98"/>
    </row>
    <row r="62" spans="1:10" ht="12" thickTop="1" x14ac:dyDescent="0.25">
      <c r="A62" s="99"/>
      <c r="B62" s="100"/>
      <c r="D62" s="101"/>
      <c r="E62" s="101" t="s">
        <v>2</v>
      </c>
      <c r="F62" s="101"/>
      <c r="G62" s="101"/>
      <c r="H62" s="102" t="s">
        <v>8</v>
      </c>
      <c r="I62" s="103"/>
      <c r="J62" s="104"/>
    </row>
    <row r="63" spans="1:10" ht="12" thickBot="1" x14ac:dyDescent="0.3">
      <c r="A63" s="105"/>
      <c r="B63" s="106" t="s">
        <v>4</v>
      </c>
      <c r="C63" s="107"/>
      <c r="D63" s="108" t="s">
        <v>5</v>
      </c>
      <c r="E63" s="108" t="s">
        <v>6</v>
      </c>
      <c r="F63" s="108" t="s">
        <v>7</v>
      </c>
      <c r="G63" s="108" t="s">
        <v>3</v>
      </c>
      <c r="H63" s="108" t="s">
        <v>7</v>
      </c>
      <c r="I63" s="108" t="s">
        <v>3</v>
      </c>
      <c r="J63" s="109"/>
    </row>
    <row r="64" spans="1:10" ht="14.5" thickTop="1" x14ac:dyDescent="0.3">
      <c r="A64" s="110"/>
      <c r="B64" s="111" t="s">
        <v>10</v>
      </c>
      <c r="C64" s="112">
        <v>1</v>
      </c>
      <c r="D64" s="113" t="s">
        <v>11</v>
      </c>
      <c r="E64" s="130" t="s">
        <v>48</v>
      </c>
      <c r="F64" s="114"/>
      <c r="G64" s="114"/>
      <c r="H64" s="114">
        <v>19.95</v>
      </c>
      <c r="I64" s="114"/>
      <c r="J64" s="115"/>
    </row>
    <row r="65" spans="1:10" ht="14" x14ac:dyDescent="0.3">
      <c r="A65" s="116"/>
      <c r="B65" s="117"/>
      <c r="C65" s="118">
        <v>31</v>
      </c>
      <c r="D65" s="119"/>
      <c r="E65" s="119" t="s">
        <v>78</v>
      </c>
      <c r="F65" s="120">
        <v>1.05</v>
      </c>
      <c r="G65" s="120"/>
      <c r="H65" s="120">
        <f>H64+F65</f>
        <v>21</v>
      </c>
      <c r="I65" s="120"/>
      <c r="J65" s="121"/>
    </row>
    <row r="66" spans="1:10" ht="14" x14ac:dyDescent="0.3">
      <c r="A66" s="116"/>
      <c r="B66" s="122"/>
      <c r="C66" s="123"/>
      <c r="D66" s="124"/>
      <c r="E66" s="124"/>
      <c r="F66" s="125"/>
      <c r="G66" s="125"/>
      <c r="H66" s="125"/>
      <c r="I66" s="126"/>
      <c r="J66" s="121"/>
    </row>
    <row r="68" spans="1:10" ht="14" x14ac:dyDescent="0.3">
      <c r="B68" s="96"/>
      <c r="C68" s="96" t="s">
        <v>44</v>
      </c>
      <c r="D68" s="97" t="s">
        <v>39</v>
      </c>
      <c r="F68" s="96"/>
      <c r="G68" s="96"/>
      <c r="H68" s="96" t="s">
        <v>46</v>
      </c>
      <c r="I68" s="97">
        <v>6135</v>
      </c>
    </row>
    <row r="69" spans="1:10" ht="10.5" thickBot="1" x14ac:dyDescent="0.25">
      <c r="A69" s="98"/>
      <c r="B69" s="98"/>
      <c r="C69" s="98"/>
      <c r="D69" s="98"/>
      <c r="E69" s="98"/>
      <c r="F69" s="98"/>
      <c r="G69" s="98"/>
      <c r="H69" s="98"/>
      <c r="I69" s="98"/>
    </row>
    <row r="70" spans="1:10" ht="12" thickTop="1" x14ac:dyDescent="0.25">
      <c r="A70" s="99"/>
      <c r="B70" s="100"/>
      <c r="D70" s="101"/>
      <c r="E70" s="101" t="s">
        <v>2</v>
      </c>
      <c r="F70" s="101"/>
      <c r="G70" s="101"/>
      <c r="H70" s="102" t="s">
        <v>8</v>
      </c>
      <c r="I70" s="103"/>
      <c r="J70" s="104"/>
    </row>
    <row r="71" spans="1:10" ht="12" thickBot="1" x14ac:dyDescent="0.3">
      <c r="A71" s="105"/>
      <c r="B71" s="106" t="s">
        <v>4</v>
      </c>
      <c r="C71" s="107"/>
      <c r="D71" s="108" t="s">
        <v>5</v>
      </c>
      <c r="E71" s="108" t="s">
        <v>6</v>
      </c>
      <c r="F71" s="108" t="s">
        <v>7</v>
      </c>
      <c r="G71" s="108" t="s">
        <v>3</v>
      </c>
      <c r="H71" s="108" t="s">
        <v>7</v>
      </c>
      <c r="I71" s="108" t="s">
        <v>3</v>
      </c>
      <c r="J71" s="109"/>
    </row>
    <row r="72" spans="1:10" ht="14.5" thickTop="1" x14ac:dyDescent="0.3">
      <c r="A72" s="110"/>
      <c r="B72" s="111" t="s">
        <v>10</v>
      </c>
      <c r="C72" s="112">
        <v>1</v>
      </c>
      <c r="D72" s="113" t="s">
        <v>11</v>
      </c>
      <c r="E72" s="130" t="s">
        <v>48</v>
      </c>
      <c r="F72" s="114"/>
      <c r="G72" s="114"/>
      <c r="H72" s="114">
        <v>2489.9699999999998</v>
      </c>
      <c r="I72" s="114"/>
      <c r="J72" s="115"/>
    </row>
    <row r="73" spans="1:10" ht="15.5" x14ac:dyDescent="0.35">
      <c r="A73" s="116"/>
      <c r="B73" s="117"/>
      <c r="C73" s="118">
        <v>31</v>
      </c>
      <c r="D73" s="119"/>
      <c r="E73" s="119" t="s">
        <v>78</v>
      </c>
      <c r="F73" s="38">
        <v>47.64</v>
      </c>
      <c r="G73" s="120"/>
      <c r="H73" s="120">
        <f>H72+F73</f>
        <v>2537.6099999999997</v>
      </c>
      <c r="I73" s="120"/>
      <c r="J73" s="121"/>
    </row>
    <row r="74" spans="1:10" ht="14" x14ac:dyDescent="0.3">
      <c r="A74" s="116"/>
      <c r="B74" s="122"/>
      <c r="C74" s="123"/>
      <c r="D74" s="124"/>
      <c r="E74" s="124"/>
      <c r="F74" s="125"/>
      <c r="G74" s="125"/>
      <c r="H74" s="125"/>
      <c r="I74" s="126"/>
      <c r="J74" s="121"/>
    </row>
    <row r="76" spans="1:10" ht="14" x14ac:dyDescent="0.3">
      <c r="B76" s="96"/>
      <c r="C76" s="96" t="s">
        <v>44</v>
      </c>
      <c r="D76" s="97" t="s">
        <v>34</v>
      </c>
      <c r="F76" s="96"/>
      <c r="G76" s="96"/>
      <c r="H76" s="96" t="s">
        <v>46</v>
      </c>
      <c r="I76" s="97">
        <v>6170</v>
      </c>
    </row>
    <row r="77" spans="1:10" ht="10.5" thickBot="1" x14ac:dyDescent="0.25">
      <c r="A77" s="98"/>
      <c r="B77" s="98"/>
      <c r="C77" s="98"/>
      <c r="D77" s="98"/>
      <c r="E77" s="98"/>
      <c r="F77" s="98"/>
      <c r="G77" s="98"/>
      <c r="H77" s="98"/>
      <c r="I77" s="98"/>
    </row>
    <row r="78" spans="1:10" ht="12" thickTop="1" x14ac:dyDescent="0.25">
      <c r="A78" s="99"/>
      <c r="B78" s="100"/>
      <c r="D78" s="101"/>
      <c r="E78" s="101" t="s">
        <v>2</v>
      </c>
      <c r="F78" s="101"/>
      <c r="G78" s="101"/>
      <c r="H78" s="102" t="s">
        <v>8</v>
      </c>
      <c r="I78" s="103"/>
      <c r="J78" s="104"/>
    </row>
    <row r="79" spans="1:10" ht="12" thickBot="1" x14ac:dyDescent="0.3">
      <c r="A79" s="105"/>
      <c r="B79" s="106" t="s">
        <v>4</v>
      </c>
      <c r="C79" s="107"/>
      <c r="D79" s="108" t="s">
        <v>5</v>
      </c>
      <c r="E79" s="108" t="s">
        <v>6</v>
      </c>
      <c r="F79" s="108" t="s">
        <v>7</v>
      </c>
      <c r="G79" s="108" t="s">
        <v>3</v>
      </c>
      <c r="H79" s="108" t="s">
        <v>7</v>
      </c>
      <c r="I79" s="108" t="s">
        <v>3</v>
      </c>
      <c r="J79" s="109"/>
    </row>
    <row r="80" spans="1:10" ht="14.5" thickTop="1" x14ac:dyDescent="0.3">
      <c r="A80" s="110"/>
      <c r="B80" s="111" t="s">
        <v>10</v>
      </c>
      <c r="C80" s="112">
        <v>1</v>
      </c>
      <c r="D80" s="113" t="s">
        <v>11</v>
      </c>
      <c r="E80" s="130" t="s">
        <v>48</v>
      </c>
      <c r="F80" s="114"/>
      <c r="G80" s="114"/>
      <c r="H80" s="114">
        <v>948.59</v>
      </c>
      <c r="I80" s="114"/>
      <c r="J80" s="115"/>
    </row>
    <row r="81" spans="1:10" ht="14" x14ac:dyDescent="0.3">
      <c r="A81" s="116"/>
      <c r="B81" s="117"/>
      <c r="C81" s="118">
        <v>2</v>
      </c>
      <c r="D81" s="119"/>
      <c r="E81" s="119" t="s">
        <v>78</v>
      </c>
      <c r="F81" s="120">
        <v>124</v>
      </c>
      <c r="G81" s="120"/>
      <c r="H81" s="120">
        <f>H80+F81</f>
        <v>1072.5900000000001</v>
      </c>
      <c r="I81" s="120"/>
      <c r="J81" s="121"/>
    </row>
    <row r="82" spans="1:10" ht="14" x14ac:dyDescent="0.3">
      <c r="A82" s="116"/>
      <c r="B82" s="122"/>
      <c r="C82" s="123"/>
      <c r="D82" s="124"/>
      <c r="E82" s="124"/>
      <c r="F82" s="125"/>
      <c r="G82" s="125"/>
      <c r="H82" s="125"/>
      <c r="I82" s="126"/>
      <c r="J82" s="121"/>
    </row>
  </sheetData>
  <sheetProtection selectLockedCells="1"/>
  <printOptions horizontalCentered="1"/>
  <pageMargins left="0.25" right="0.25" top="0.5" bottom="0.5" header="0.5" footer="0.5"/>
  <pageSetup orientation="portrait" horizontalDpi="4294967293" verticalDpi="300" r:id="rId1"/>
  <headerFooter alignWithMargins="0"/>
  <rowBreaks count="1" manualBreakCount="1">
    <brk id="49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K23"/>
  <sheetViews>
    <sheetView topLeftCell="A3" zoomScaleNormal="100" workbookViewId="0">
      <selection activeCell="M17" sqref="M17"/>
    </sheetView>
  </sheetViews>
  <sheetFormatPr defaultRowHeight="10" x14ac:dyDescent="0.2"/>
  <cols>
    <col min="1" max="1" width="2.7265625" style="1" customWidth="1"/>
    <col min="2" max="2" width="4.54296875" style="1" customWidth="1"/>
    <col min="3" max="3" width="3.26953125" style="1" customWidth="1"/>
    <col min="4" max="4" width="50.7265625" style="1" customWidth="1"/>
    <col min="5" max="5" width="6.26953125" style="1" customWidth="1"/>
    <col min="6" max="6" width="6.54296875" style="1" customWidth="1"/>
    <col min="7" max="8" width="12.7265625" style="1" customWidth="1"/>
    <col min="9" max="9" width="2.7265625" style="1" customWidth="1"/>
    <col min="10" max="10" width="9.1796875" style="1"/>
    <col min="11" max="11" width="10.453125" style="1" bestFit="1" customWidth="1"/>
    <col min="12" max="256" width="9.1796875" style="1"/>
    <col min="257" max="257" width="2.7265625" style="1" customWidth="1"/>
    <col min="258" max="258" width="4.54296875" style="1" customWidth="1"/>
    <col min="259" max="259" width="3.26953125" style="1" customWidth="1"/>
    <col min="260" max="260" width="50.7265625" style="1" customWidth="1"/>
    <col min="261" max="261" width="6.26953125" style="1" customWidth="1"/>
    <col min="262" max="262" width="6.54296875" style="1" customWidth="1"/>
    <col min="263" max="264" width="12.7265625" style="1" customWidth="1"/>
    <col min="265" max="265" width="2.7265625" style="1" customWidth="1"/>
    <col min="266" max="266" width="9.1796875" style="1"/>
    <col min="267" max="267" width="9.453125" style="1" bestFit="1" customWidth="1"/>
    <col min="268" max="512" width="9.1796875" style="1"/>
    <col min="513" max="513" width="2.7265625" style="1" customWidth="1"/>
    <col min="514" max="514" width="4.54296875" style="1" customWidth="1"/>
    <col min="515" max="515" width="3.26953125" style="1" customWidth="1"/>
    <col min="516" max="516" width="50.7265625" style="1" customWidth="1"/>
    <col min="517" max="517" width="6.26953125" style="1" customWidth="1"/>
    <col min="518" max="518" width="6.54296875" style="1" customWidth="1"/>
    <col min="519" max="520" width="12.7265625" style="1" customWidth="1"/>
    <col min="521" max="521" width="2.7265625" style="1" customWidth="1"/>
    <col min="522" max="522" width="9.1796875" style="1"/>
    <col min="523" max="523" width="9.453125" style="1" bestFit="1" customWidth="1"/>
    <col min="524" max="768" width="9.1796875" style="1"/>
    <col min="769" max="769" width="2.7265625" style="1" customWidth="1"/>
    <col min="770" max="770" width="4.54296875" style="1" customWidth="1"/>
    <col min="771" max="771" width="3.26953125" style="1" customWidth="1"/>
    <col min="772" max="772" width="50.7265625" style="1" customWidth="1"/>
    <col min="773" max="773" width="6.26953125" style="1" customWidth="1"/>
    <col min="774" max="774" width="6.54296875" style="1" customWidth="1"/>
    <col min="775" max="776" width="12.7265625" style="1" customWidth="1"/>
    <col min="777" max="777" width="2.7265625" style="1" customWidth="1"/>
    <col min="778" max="778" width="9.1796875" style="1"/>
    <col min="779" max="779" width="9.453125" style="1" bestFit="1" customWidth="1"/>
    <col min="780" max="1024" width="9.1796875" style="1"/>
    <col min="1025" max="1025" width="2.7265625" style="1" customWidth="1"/>
    <col min="1026" max="1026" width="4.54296875" style="1" customWidth="1"/>
    <col min="1027" max="1027" width="3.26953125" style="1" customWidth="1"/>
    <col min="1028" max="1028" width="50.7265625" style="1" customWidth="1"/>
    <col min="1029" max="1029" width="6.26953125" style="1" customWidth="1"/>
    <col min="1030" max="1030" width="6.54296875" style="1" customWidth="1"/>
    <col min="1031" max="1032" width="12.7265625" style="1" customWidth="1"/>
    <col min="1033" max="1033" width="2.7265625" style="1" customWidth="1"/>
    <col min="1034" max="1034" width="9.1796875" style="1"/>
    <col min="1035" max="1035" width="9.453125" style="1" bestFit="1" customWidth="1"/>
    <col min="1036" max="1280" width="9.1796875" style="1"/>
    <col min="1281" max="1281" width="2.7265625" style="1" customWidth="1"/>
    <col min="1282" max="1282" width="4.54296875" style="1" customWidth="1"/>
    <col min="1283" max="1283" width="3.26953125" style="1" customWidth="1"/>
    <col min="1284" max="1284" width="50.7265625" style="1" customWidth="1"/>
    <col min="1285" max="1285" width="6.26953125" style="1" customWidth="1"/>
    <col min="1286" max="1286" width="6.54296875" style="1" customWidth="1"/>
    <col min="1287" max="1288" width="12.7265625" style="1" customWidth="1"/>
    <col min="1289" max="1289" width="2.7265625" style="1" customWidth="1"/>
    <col min="1290" max="1290" width="9.1796875" style="1"/>
    <col min="1291" max="1291" width="9.453125" style="1" bestFit="1" customWidth="1"/>
    <col min="1292" max="1536" width="9.1796875" style="1"/>
    <col min="1537" max="1537" width="2.7265625" style="1" customWidth="1"/>
    <col min="1538" max="1538" width="4.54296875" style="1" customWidth="1"/>
    <col min="1539" max="1539" width="3.26953125" style="1" customWidth="1"/>
    <col min="1540" max="1540" width="50.7265625" style="1" customWidth="1"/>
    <col min="1541" max="1541" width="6.26953125" style="1" customWidth="1"/>
    <col min="1542" max="1542" width="6.54296875" style="1" customWidth="1"/>
    <col min="1543" max="1544" width="12.7265625" style="1" customWidth="1"/>
    <col min="1545" max="1545" width="2.7265625" style="1" customWidth="1"/>
    <col min="1546" max="1546" width="9.1796875" style="1"/>
    <col min="1547" max="1547" width="9.453125" style="1" bestFit="1" customWidth="1"/>
    <col min="1548" max="1792" width="9.1796875" style="1"/>
    <col min="1793" max="1793" width="2.7265625" style="1" customWidth="1"/>
    <col min="1794" max="1794" width="4.54296875" style="1" customWidth="1"/>
    <col min="1795" max="1795" width="3.26953125" style="1" customWidth="1"/>
    <col min="1796" max="1796" width="50.7265625" style="1" customWidth="1"/>
    <col min="1797" max="1797" width="6.26953125" style="1" customWidth="1"/>
    <col min="1798" max="1798" width="6.54296875" style="1" customWidth="1"/>
    <col min="1799" max="1800" width="12.7265625" style="1" customWidth="1"/>
    <col min="1801" max="1801" width="2.7265625" style="1" customWidth="1"/>
    <col min="1802" max="1802" width="9.1796875" style="1"/>
    <col min="1803" max="1803" width="9.453125" style="1" bestFit="1" customWidth="1"/>
    <col min="1804" max="2048" width="9.1796875" style="1"/>
    <col min="2049" max="2049" width="2.7265625" style="1" customWidth="1"/>
    <col min="2050" max="2050" width="4.54296875" style="1" customWidth="1"/>
    <col min="2051" max="2051" width="3.26953125" style="1" customWidth="1"/>
    <col min="2052" max="2052" width="50.7265625" style="1" customWidth="1"/>
    <col min="2053" max="2053" width="6.26953125" style="1" customWidth="1"/>
    <col min="2054" max="2054" width="6.54296875" style="1" customWidth="1"/>
    <col min="2055" max="2056" width="12.7265625" style="1" customWidth="1"/>
    <col min="2057" max="2057" width="2.7265625" style="1" customWidth="1"/>
    <col min="2058" max="2058" width="9.1796875" style="1"/>
    <col min="2059" max="2059" width="9.453125" style="1" bestFit="1" customWidth="1"/>
    <col min="2060" max="2304" width="9.1796875" style="1"/>
    <col min="2305" max="2305" width="2.7265625" style="1" customWidth="1"/>
    <col min="2306" max="2306" width="4.54296875" style="1" customWidth="1"/>
    <col min="2307" max="2307" width="3.26953125" style="1" customWidth="1"/>
    <col min="2308" max="2308" width="50.7265625" style="1" customWidth="1"/>
    <col min="2309" max="2309" width="6.26953125" style="1" customWidth="1"/>
    <col min="2310" max="2310" width="6.54296875" style="1" customWidth="1"/>
    <col min="2311" max="2312" width="12.7265625" style="1" customWidth="1"/>
    <col min="2313" max="2313" width="2.7265625" style="1" customWidth="1"/>
    <col min="2314" max="2314" width="9.1796875" style="1"/>
    <col min="2315" max="2315" width="9.453125" style="1" bestFit="1" customWidth="1"/>
    <col min="2316" max="2560" width="9.1796875" style="1"/>
    <col min="2561" max="2561" width="2.7265625" style="1" customWidth="1"/>
    <col min="2562" max="2562" width="4.54296875" style="1" customWidth="1"/>
    <col min="2563" max="2563" width="3.26953125" style="1" customWidth="1"/>
    <col min="2564" max="2564" width="50.7265625" style="1" customWidth="1"/>
    <col min="2565" max="2565" width="6.26953125" style="1" customWidth="1"/>
    <col min="2566" max="2566" width="6.54296875" style="1" customWidth="1"/>
    <col min="2567" max="2568" width="12.7265625" style="1" customWidth="1"/>
    <col min="2569" max="2569" width="2.7265625" style="1" customWidth="1"/>
    <col min="2570" max="2570" width="9.1796875" style="1"/>
    <col min="2571" max="2571" width="9.453125" style="1" bestFit="1" customWidth="1"/>
    <col min="2572" max="2816" width="9.1796875" style="1"/>
    <col min="2817" max="2817" width="2.7265625" style="1" customWidth="1"/>
    <col min="2818" max="2818" width="4.54296875" style="1" customWidth="1"/>
    <col min="2819" max="2819" width="3.26953125" style="1" customWidth="1"/>
    <col min="2820" max="2820" width="50.7265625" style="1" customWidth="1"/>
    <col min="2821" max="2821" width="6.26953125" style="1" customWidth="1"/>
    <col min="2822" max="2822" width="6.54296875" style="1" customWidth="1"/>
    <col min="2823" max="2824" width="12.7265625" style="1" customWidth="1"/>
    <col min="2825" max="2825" width="2.7265625" style="1" customWidth="1"/>
    <col min="2826" max="2826" width="9.1796875" style="1"/>
    <col min="2827" max="2827" width="9.453125" style="1" bestFit="1" customWidth="1"/>
    <col min="2828" max="3072" width="9.1796875" style="1"/>
    <col min="3073" max="3073" width="2.7265625" style="1" customWidth="1"/>
    <col min="3074" max="3074" width="4.54296875" style="1" customWidth="1"/>
    <col min="3075" max="3075" width="3.26953125" style="1" customWidth="1"/>
    <col min="3076" max="3076" width="50.7265625" style="1" customWidth="1"/>
    <col min="3077" max="3077" width="6.26953125" style="1" customWidth="1"/>
    <col min="3078" max="3078" width="6.54296875" style="1" customWidth="1"/>
    <col min="3079" max="3080" width="12.7265625" style="1" customWidth="1"/>
    <col min="3081" max="3081" width="2.7265625" style="1" customWidth="1"/>
    <col min="3082" max="3082" width="9.1796875" style="1"/>
    <col min="3083" max="3083" width="9.453125" style="1" bestFit="1" customWidth="1"/>
    <col min="3084" max="3328" width="9.1796875" style="1"/>
    <col min="3329" max="3329" width="2.7265625" style="1" customWidth="1"/>
    <col min="3330" max="3330" width="4.54296875" style="1" customWidth="1"/>
    <col min="3331" max="3331" width="3.26953125" style="1" customWidth="1"/>
    <col min="3332" max="3332" width="50.7265625" style="1" customWidth="1"/>
    <col min="3333" max="3333" width="6.26953125" style="1" customWidth="1"/>
    <col min="3334" max="3334" width="6.54296875" style="1" customWidth="1"/>
    <col min="3335" max="3336" width="12.7265625" style="1" customWidth="1"/>
    <col min="3337" max="3337" width="2.7265625" style="1" customWidth="1"/>
    <col min="3338" max="3338" width="9.1796875" style="1"/>
    <col min="3339" max="3339" width="9.453125" style="1" bestFit="1" customWidth="1"/>
    <col min="3340" max="3584" width="9.1796875" style="1"/>
    <col min="3585" max="3585" width="2.7265625" style="1" customWidth="1"/>
    <col min="3586" max="3586" width="4.54296875" style="1" customWidth="1"/>
    <col min="3587" max="3587" width="3.26953125" style="1" customWidth="1"/>
    <col min="3588" max="3588" width="50.7265625" style="1" customWidth="1"/>
    <col min="3589" max="3589" width="6.26953125" style="1" customWidth="1"/>
    <col min="3590" max="3590" width="6.54296875" style="1" customWidth="1"/>
    <col min="3591" max="3592" width="12.7265625" style="1" customWidth="1"/>
    <col min="3593" max="3593" width="2.7265625" style="1" customWidth="1"/>
    <col min="3594" max="3594" width="9.1796875" style="1"/>
    <col min="3595" max="3595" width="9.453125" style="1" bestFit="1" customWidth="1"/>
    <col min="3596" max="3840" width="9.1796875" style="1"/>
    <col min="3841" max="3841" width="2.7265625" style="1" customWidth="1"/>
    <col min="3842" max="3842" width="4.54296875" style="1" customWidth="1"/>
    <col min="3843" max="3843" width="3.26953125" style="1" customWidth="1"/>
    <col min="3844" max="3844" width="50.7265625" style="1" customWidth="1"/>
    <col min="3845" max="3845" width="6.26953125" style="1" customWidth="1"/>
    <col min="3846" max="3846" width="6.54296875" style="1" customWidth="1"/>
    <col min="3847" max="3848" width="12.7265625" style="1" customWidth="1"/>
    <col min="3849" max="3849" width="2.7265625" style="1" customWidth="1"/>
    <col min="3850" max="3850" width="9.1796875" style="1"/>
    <col min="3851" max="3851" width="9.453125" style="1" bestFit="1" customWidth="1"/>
    <col min="3852" max="4096" width="9.1796875" style="1"/>
    <col min="4097" max="4097" width="2.7265625" style="1" customWidth="1"/>
    <col min="4098" max="4098" width="4.54296875" style="1" customWidth="1"/>
    <col min="4099" max="4099" width="3.26953125" style="1" customWidth="1"/>
    <col min="4100" max="4100" width="50.7265625" style="1" customWidth="1"/>
    <col min="4101" max="4101" width="6.26953125" style="1" customWidth="1"/>
    <col min="4102" max="4102" width="6.54296875" style="1" customWidth="1"/>
    <col min="4103" max="4104" width="12.7265625" style="1" customWidth="1"/>
    <col min="4105" max="4105" width="2.7265625" style="1" customWidth="1"/>
    <col min="4106" max="4106" width="9.1796875" style="1"/>
    <col min="4107" max="4107" width="9.453125" style="1" bestFit="1" customWidth="1"/>
    <col min="4108" max="4352" width="9.1796875" style="1"/>
    <col min="4353" max="4353" width="2.7265625" style="1" customWidth="1"/>
    <col min="4354" max="4354" width="4.54296875" style="1" customWidth="1"/>
    <col min="4355" max="4355" width="3.26953125" style="1" customWidth="1"/>
    <col min="4356" max="4356" width="50.7265625" style="1" customWidth="1"/>
    <col min="4357" max="4357" width="6.26953125" style="1" customWidth="1"/>
    <col min="4358" max="4358" width="6.54296875" style="1" customWidth="1"/>
    <col min="4359" max="4360" width="12.7265625" style="1" customWidth="1"/>
    <col min="4361" max="4361" width="2.7265625" style="1" customWidth="1"/>
    <col min="4362" max="4362" width="9.1796875" style="1"/>
    <col min="4363" max="4363" width="9.453125" style="1" bestFit="1" customWidth="1"/>
    <col min="4364" max="4608" width="9.1796875" style="1"/>
    <col min="4609" max="4609" width="2.7265625" style="1" customWidth="1"/>
    <col min="4610" max="4610" width="4.54296875" style="1" customWidth="1"/>
    <col min="4611" max="4611" width="3.26953125" style="1" customWidth="1"/>
    <col min="4612" max="4612" width="50.7265625" style="1" customWidth="1"/>
    <col min="4613" max="4613" width="6.26953125" style="1" customWidth="1"/>
    <col min="4614" max="4614" width="6.54296875" style="1" customWidth="1"/>
    <col min="4615" max="4616" width="12.7265625" style="1" customWidth="1"/>
    <col min="4617" max="4617" width="2.7265625" style="1" customWidth="1"/>
    <col min="4618" max="4618" width="9.1796875" style="1"/>
    <col min="4619" max="4619" width="9.453125" style="1" bestFit="1" customWidth="1"/>
    <col min="4620" max="4864" width="9.1796875" style="1"/>
    <col min="4865" max="4865" width="2.7265625" style="1" customWidth="1"/>
    <col min="4866" max="4866" width="4.54296875" style="1" customWidth="1"/>
    <col min="4867" max="4867" width="3.26953125" style="1" customWidth="1"/>
    <col min="4868" max="4868" width="50.7265625" style="1" customWidth="1"/>
    <col min="4869" max="4869" width="6.26953125" style="1" customWidth="1"/>
    <col min="4870" max="4870" width="6.54296875" style="1" customWidth="1"/>
    <col min="4871" max="4872" width="12.7265625" style="1" customWidth="1"/>
    <col min="4873" max="4873" width="2.7265625" style="1" customWidth="1"/>
    <col min="4874" max="4874" width="9.1796875" style="1"/>
    <col min="4875" max="4875" width="9.453125" style="1" bestFit="1" customWidth="1"/>
    <col min="4876" max="5120" width="9.1796875" style="1"/>
    <col min="5121" max="5121" width="2.7265625" style="1" customWidth="1"/>
    <col min="5122" max="5122" width="4.54296875" style="1" customWidth="1"/>
    <col min="5123" max="5123" width="3.26953125" style="1" customWidth="1"/>
    <col min="5124" max="5124" width="50.7265625" style="1" customWidth="1"/>
    <col min="5125" max="5125" width="6.26953125" style="1" customWidth="1"/>
    <col min="5126" max="5126" width="6.54296875" style="1" customWidth="1"/>
    <col min="5127" max="5128" width="12.7265625" style="1" customWidth="1"/>
    <col min="5129" max="5129" width="2.7265625" style="1" customWidth="1"/>
    <col min="5130" max="5130" width="9.1796875" style="1"/>
    <col min="5131" max="5131" width="9.453125" style="1" bestFit="1" customWidth="1"/>
    <col min="5132" max="5376" width="9.1796875" style="1"/>
    <col min="5377" max="5377" width="2.7265625" style="1" customWidth="1"/>
    <col min="5378" max="5378" width="4.54296875" style="1" customWidth="1"/>
    <col min="5379" max="5379" width="3.26953125" style="1" customWidth="1"/>
    <col min="5380" max="5380" width="50.7265625" style="1" customWidth="1"/>
    <col min="5381" max="5381" width="6.26953125" style="1" customWidth="1"/>
    <col min="5382" max="5382" width="6.54296875" style="1" customWidth="1"/>
    <col min="5383" max="5384" width="12.7265625" style="1" customWidth="1"/>
    <col min="5385" max="5385" width="2.7265625" style="1" customWidth="1"/>
    <col min="5386" max="5386" width="9.1796875" style="1"/>
    <col min="5387" max="5387" width="9.453125" style="1" bestFit="1" customWidth="1"/>
    <col min="5388" max="5632" width="9.1796875" style="1"/>
    <col min="5633" max="5633" width="2.7265625" style="1" customWidth="1"/>
    <col min="5634" max="5634" width="4.54296875" style="1" customWidth="1"/>
    <col min="5635" max="5635" width="3.26953125" style="1" customWidth="1"/>
    <col min="5636" max="5636" width="50.7265625" style="1" customWidth="1"/>
    <col min="5637" max="5637" width="6.26953125" style="1" customWidth="1"/>
    <col min="5638" max="5638" width="6.54296875" style="1" customWidth="1"/>
    <col min="5639" max="5640" width="12.7265625" style="1" customWidth="1"/>
    <col min="5641" max="5641" width="2.7265625" style="1" customWidth="1"/>
    <col min="5642" max="5642" width="9.1796875" style="1"/>
    <col min="5643" max="5643" width="9.453125" style="1" bestFit="1" customWidth="1"/>
    <col min="5644" max="5888" width="9.1796875" style="1"/>
    <col min="5889" max="5889" width="2.7265625" style="1" customWidth="1"/>
    <col min="5890" max="5890" width="4.54296875" style="1" customWidth="1"/>
    <col min="5891" max="5891" width="3.26953125" style="1" customWidth="1"/>
    <col min="5892" max="5892" width="50.7265625" style="1" customWidth="1"/>
    <col min="5893" max="5893" width="6.26953125" style="1" customWidth="1"/>
    <col min="5894" max="5894" width="6.54296875" style="1" customWidth="1"/>
    <col min="5895" max="5896" width="12.7265625" style="1" customWidth="1"/>
    <col min="5897" max="5897" width="2.7265625" style="1" customWidth="1"/>
    <col min="5898" max="5898" width="9.1796875" style="1"/>
    <col min="5899" max="5899" width="9.453125" style="1" bestFit="1" customWidth="1"/>
    <col min="5900" max="6144" width="9.1796875" style="1"/>
    <col min="6145" max="6145" width="2.7265625" style="1" customWidth="1"/>
    <col min="6146" max="6146" width="4.54296875" style="1" customWidth="1"/>
    <col min="6147" max="6147" width="3.26953125" style="1" customWidth="1"/>
    <col min="6148" max="6148" width="50.7265625" style="1" customWidth="1"/>
    <col min="6149" max="6149" width="6.26953125" style="1" customWidth="1"/>
    <col min="6150" max="6150" width="6.54296875" style="1" customWidth="1"/>
    <col min="6151" max="6152" width="12.7265625" style="1" customWidth="1"/>
    <col min="6153" max="6153" width="2.7265625" style="1" customWidth="1"/>
    <col min="6154" max="6154" width="9.1796875" style="1"/>
    <col min="6155" max="6155" width="9.453125" style="1" bestFit="1" customWidth="1"/>
    <col min="6156" max="6400" width="9.1796875" style="1"/>
    <col min="6401" max="6401" width="2.7265625" style="1" customWidth="1"/>
    <col min="6402" max="6402" width="4.54296875" style="1" customWidth="1"/>
    <col min="6403" max="6403" width="3.26953125" style="1" customWidth="1"/>
    <col min="6404" max="6404" width="50.7265625" style="1" customWidth="1"/>
    <col min="6405" max="6405" width="6.26953125" style="1" customWidth="1"/>
    <col min="6406" max="6406" width="6.54296875" style="1" customWidth="1"/>
    <col min="6407" max="6408" width="12.7265625" style="1" customWidth="1"/>
    <col min="6409" max="6409" width="2.7265625" style="1" customWidth="1"/>
    <col min="6410" max="6410" width="9.1796875" style="1"/>
    <col min="6411" max="6411" width="9.453125" style="1" bestFit="1" customWidth="1"/>
    <col min="6412" max="6656" width="9.1796875" style="1"/>
    <col min="6657" max="6657" width="2.7265625" style="1" customWidth="1"/>
    <col min="6658" max="6658" width="4.54296875" style="1" customWidth="1"/>
    <col min="6659" max="6659" width="3.26953125" style="1" customWidth="1"/>
    <col min="6660" max="6660" width="50.7265625" style="1" customWidth="1"/>
    <col min="6661" max="6661" width="6.26953125" style="1" customWidth="1"/>
    <col min="6662" max="6662" width="6.54296875" style="1" customWidth="1"/>
    <col min="6663" max="6664" width="12.7265625" style="1" customWidth="1"/>
    <col min="6665" max="6665" width="2.7265625" style="1" customWidth="1"/>
    <col min="6666" max="6666" width="9.1796875" style="1"/>
    <col min="6667" max="6667" width="9.453125" style="1" bestFit="1" customWidth="1"/>
    <col min="6668" max="6912" width="9.1796875" style="1"/>
    <col min="6913" max="6913" width="2.7265625" style="1" customWidth="1"/>
    <col min="6914" max="6914" width="4.54296875" style="1" customWidth="1"/>
    <col min="6915" max="6915" width="3.26953125" style="1" customWidth="1"/>
    <col min="6916" max="6916" width="50.7265625" style="1" customWidth="1"/>
    <col min="6917" max="6917" width="6.26953125" style="1" customWidth="1"/>
    <col min="6918" max="6918" width="6.54296875" style="1" customWidth="1"/>
    <col min="6919" max="6920" width="12.7265625" style="1" customWidth="1"/>
    <col min="6921" max="6921" width="2.7265625" style="1" customWidth="1"/>
    <col min="6922" max="6922" width="9.1796875" style="1"/>
    <col min="6923" max="6923" width="9.453125" style="1" bestFit="1" customWidth="1"/>
    <col min="6924" max="7168" width="9.1796875" style="1"/>
    <col min="7169" max="7169" width="2.7265625" style="1" customWidth="1"/>
    <col min="7170" max="7170" width="4.54296875" style="1" customWidth="1"/>
    <col min="7171" max="7171" width="3.26953125" style="1" customWidth="1"/>
    <col min="7172" max="7172" width="50.7265625" style="1" customWidth="1"/>
    <col min="7173" max="7173" width="6.26953125" style="1" customWidth="1"/>
    <col min="7174" max="7174" width="6.54296875" style="1" customWidth="1"/>
    <col min="7175" max="7176" width="12.7265625" style="1" customWidth="1"/>
    <col min="7177" max="7177" width="2.7265625" style="1" customWidth="1"/>
    <col min="7178" max="7178" width="9.1796875" style="1"/>
    <col min="7179" max="7179" width="9.453125" style="1" bestFit="1" customWidth="1"/>
    <col min="7180" max="7424" width="9.1796875" style="1"/>
    <col min="7425" max="7425" width="2.7265625" style="1" customWidth="1"/>
    <col min="7426" max="7426" width="4.54296875" style="1" customWidth="1"/>
    <col min="7427" max="7427" width="3.26953125" style="1" customWidth="1"/>
    <col min="7428" max="7428" width="50.7265625" style="1" customWidth="1"/>
    <col min="7429" max="7429" width="6.26953125" style="1" customWidth="1"/>
    <col min="7430" max="7430" width="6.54296875" style="1" customWidth="1"/>
    <col min="7431" max="7432" width="12.7265625" style="1" customWidth="1"/>
    <col min="7433" max="7433" width="2.7265625" style="1" customWidth="1"/>
    <col min="7434" max="7434" width="9.1796875" style="1"/>
    <col min="7435" max="7435" width="9.453125" style="1" bestFit="1" customWidth="1"/>
    <col min="7436" max="7680" width="9.1796875" style="1"/>
    <col min="7681" max="7681" width="2.7265625" style="1" customWidth="1"/>
    <col min="7682" max="7682" width="4.54296875" style="1" customWidth="1"/>
    <col min="7683" max="7683" width="3.26953125" style="1" customWidth="1"/>
    <col min="7684" max="7684" width="50.7265625" style="1" customWidth="1"/>
    <col min="7685" max="7685" width="6.26953125" style="1" customWidth="1"/>
    <col min="7686" max="7686" width="6.54296875" style="1" customWidth="1"/>
    <col min="7687" max="7688" width="12.7265625" style="1" customWidth="1"/>
    <col min="7689" max="7689" width="2.7265625" style="1" customWidth="1"/>
    <col min="7690" max="7690" width="9.1796875" style="1"/>
    <col min="7691" max="7691" width="9.453125" style="1" bestFit="1" customWidth="1"/>
    <col min="7692" max="7936" width="9.1796875" style="1"/>
    <col min="7937" max="7937" width="2.7265625" style="1" customWidth="1"/>
    <col min="7938" max="7938" width="4.54296875" style="1" customWidth="1"/>
    <col min="7939" max="7939" width="3.26953125" style="1" customWidth="1"/>
    <col min="7940" max="7940" width="50.7265625" style="1" customWidth="1"/>
    <col min="7941" max="7941" width="6.26953125" style="1" customWidth="1"/>
    <col min="7942" max="7942" width="6.54296875" style="1" customWidth="1"/>
    <col min="7943" max="7944" width="12.7265625" style="1" customWidth="1"/>
    <col min="7945" max="7945" width="2.7265625" style="1" customWidth="1"/>
    <col min="7946" max="7946" width="9.1796875" style="1"/>
    <col min="7947" max="7947" width="9.453125" style="1" bestFit="1" customWidth="1"/>
    <col min="7948" max="8192" width="9.1796875" style="1"/>
    <col min="8193" max="8193" width="2.7265625" style="1" customWidth="1"/>
    <col min="8194" max="8194" width="4.54296875" style="1" customWidth="1"/>
    <col min="8195" max="8195" width="3.26953125" style="1" customWidth="1"/>
    <col min="8196" max="8196" width="50.7265625" style="1" customWidth="1"/>
    <col min="8197" max="8197" width="6.26953125" style="1" customWidth="1"/>
    <col min="8198" max="8198" width="6.54296875" style="1" customWidth="1"/>
    <col min="8199" max="8200" width="12.7265625" style="1" customWidth="1"/>
    <col min="8201" max="8201" width="2.7265625" style="1" customWidth="1"/>
    <col min="8202" max="8202" width="9.1796875" style="1"/>
    <col min="8203" max="8203" width="9.453125" style="1" bestFit="1" customWidth="1"/>
    <col min="8204" max="8448" width="9.1796875" style="1"/>
    <col min="8449" max="8449" width="2.7265625" style="1" customWidth="1"/>
    <col min="8450" max="8450" width="4.54296875" style="1" customWidth="1"/>
    <col min="8451" max="8451" width="3.26953125" style="1" customWidth="1"/>
    <col min="8452" max="8452" width="50.7265625" style="1" customWidth="1"/>
    <col min="8453" max="8453" width="6.26953125" style="1" customWidth="1"/>
    <col min="8454" max="8454" width="6.54296875" style="1" customWidth="1"/>
    <col min="8455" max="8456" width="12.7265625" style="1" customWidth="1"/>
    <col min="8457" max="8457" width="2.7265625" style="1" customWidth="1"/>
    <col min="8458" max="8458" width="9.1796875" style="1"/>
    <col min="8459" max="8459" width="9.453125" style="1" bestFit="1" customWidth="1"/>
    <col min="8460" max="8704" width="9.1796875" style="1"/>
    <col min="8705" max="8705" width="2.7265625" style="1" customWidth="1"/>
    <col min="8706" max="8706" width="4.54296875" style="1" customWidth="1"/>
    <col min="8707" max="8707" width="3.26953125" style="1" customWidth="1"/>
    <col min="8708" max="8708" width="50.7265625" style="1" customWidth="1"/>
    <col min="8709" max="8709" width="6.26953125" style="1" customWidth="1"/>
    <col min="8710" max="8710" width="6.54296875" style="1" customWidth="1"/>
    <col min="8711" max="8712" width="12.7265625" style="1" customWidth="1"/>
    <col min="8713" max="8713" width="2.7265625" style="1" customWidth="1"/>
    <col min="8714" max="8714" width="9.1796875" style="1"/>
    <col min="8715" max="8715" width="9.453125" style="1" bestFit="1" customWidth="1"/>
    <col min="8716" max="8960" width="9.1796875" style="1"/>
    <col min="8961" max="8961" width="2.7265625" style="1" customWidth="1"/>
    <col min="8962" max="8962" width="4.54296875" style="1" customWidth="1"/>
    <col min="8963" max="8963" width="3.26953125" style="1" customWidth="1"/>
    <col min="8964" max="8964" width="50.7265625" style="1" customWidth="1"/>
    <col min="8965" max="8965" width="6.26953125" style="1" customWidth="1"/>
    <col min="8966" max="8966" width="6.54296875" style="1" customWidth="1"/>
    <col min="8967" max="8968" width="12.7265625" style="1" customWidth="1"/>
    <col min="8969" max="8969" width="2.7265625" style="1" customWidth="1"/>
    <col min="8970" max="8970" width="9.1796875" style="1"/>
    <col min="8971" max="8971" width="9.453125" style="1" bestFit="1" customWidth="1"/>
    <col min="8972" max="9216" width="9.1796875" style="1"/>
    <col min="9217" max="9217" width="2.7265625" style="1" customWidth="1"/>
    <col min="9218" max="9218" width="4.54296875" style="1" customWidth="1"/>
    <col min="9219" max="9219" width="3.26953125" style="1" customWidth="1"/>
    <col min="9220" max="9220" width="50.7265625" style="1" customWidth="1"/>
    <col min="9221" max="9221" width="6.26953125" style="1" customWidth="1"/>
    <col min="9222" max="9222" width="6.54296875" style="1" customWidth="1"/>
    <col min="9223" max="9224" width="12.7265625" style="1" customWidth="1"/>
    <col min="9225" max="9225" width="2.7265625" style="1" customWidth="1"/>
    <col min="9226" max="9226" width="9.1796875" style="1"/>
    <col min="9227" max="9227" width="9.453125" style="1" bestFit="1" customWidth="1"/>
    <col min="9228" max="9472" width="9.1796875" style="1"/>
    <col min="9473" max="9473" width="2.7265625" style="1" customWidth="1"/>
    <col min="9474" max="9474" width="4.54296875" style="1" customWidth="1"/>
    <col min="9475" max="9475" width="3.26953125" style="1" customWidth="1"/>
    <col min="9476" max="9476" width="50.7265625" style="1" customWidth="1"/>
    <col min="9477" max="9477" width="6.26953125" style="1" customWidth="1"/>
    <col min="9478" max="9478" width="6.54296875" style="1" customWidth="1"/>
    <col min="9479" max="9480" width="12.7265625" style="1" customWidth="1"/>
    <col min="9481" max="9481" width="2.7265625" style="1" customWidth="1"/>
    <col min="9482" max="9482" width="9.1796875" style="1"/>
    <col min="9483" max="9483" width="9.453125" style="1" bestFit="1" customWidth="1"/>
    <col min="9484" max="9728" width="9.1796875" style="1"/>
    <col min="9729" max="9729" width="2.7265625" style="1" customWidth="1"/>
    <col min="9730" max="9730" width="4.54296875" style="1" customWidth="1"/>
    <col min="9731" max="9731" width="3.26953125" style="1" customWidth="1"/>
    <col min="9732" max="9732" width="50.7265625" style="1" customWidth="1"/>
    <col min="9733" max="9733" width="6.26953125" style="1" customWidth="1"/>
    <col min="9734" max="9734" width="6.54296875" style="1" customWidth="1"/>
    <col min="9735" max="9736" width="12.7265625" style="1" customWidth="1"/>
    <col min="9737" max="9737" width="2.7265625" style="1" customWidth="1"/>
    <col min="9738" max="9738" width="9.1796875" style="1"/>
    <col min="9739" max="9739" width="9.453125" style="1" bestFit="1" customWidth="1"/>
    <col min="9740" max="9984" width="9.1796875" style="1"/>
    <col min="9985" max="9985" width="2.7265625" style="1" customWidth="1"/>
    <col min="9986" max="9986" width="4.54296875" style="1" customWidth="1"/>
    <col min="9987" max="9987" width="3.26953125" style="1" customWidth="1"/>
    <col min="9988" max="9988" width="50.7265625" style="1" customWidth="1"/>
    <col min="9989" max="9989" width="6.26953125" style="1" customWidth="1"/>
    <col min="9990" max="9990" width="6.54296875" style="1" customWidth="1"/>
    <col min="9991" max="9992" width="12.7265625" style="1" customWidth="1"/>
    <col min="9993" max="9993" width="2.7265625" style="1" customWidth="1"/>
    <col min="9994" max="9994" width="9.1796875" style="1"/>
    <col min="9995" max="9995" width="9.453125" style="1" bestFit="1" customWidth="1"/>
    <col min="9996" max="10240" width="9.1796875" style="1"/>
    <col min="10241" max="10241" width="2.7265625" style="1" customWidth="1"/>
    <col min="10242" max="10242" width="4.54296875" style="1" customWidth="1"/>
    <col min="10243" max="10243" width="3.26953125" style="1" customWidth="1"/>
    <col min="10244" max="10244" width="50.7265625" style="1" customWidth="1"/>
    <col min="10245" max="10245" width="6.26953125" style="1" customWidth="1"/>
    <col min="10246" max="10246" width="6.54296875" style="1" customWidth="1"/>
    <col min="10247" max="10248" width="12.7265625" style="1" customWidth="1"/>
    <col min="10249" max="10249" width="2.7265625" style="1" customWidth="1"/>
    <col min="10250" max="10250" width="9.1796875" style="1"/>
    <col min="10251" max="10251" width="9.453125" style="1" bestFit="1" customWidth="1"/>
    <col min="10252" max="10496" width="9.1796875" style="1"/>
    <col min="10497" max="10497" width="2.7265625" style="1" customWidth="1"/>
    <col min="10498" max="10498" width="4.54296875" style="1" customWidth="1"/>
    <col min="10499" max="10499" width="3.26953125" style="1" customWidth="1"/>
    <col min="10500" max="10500" width="50.7265625" style="1" customWidth="1"/>
    <col min="10501" max="10501" width="6.26953125" style="1" customWidth="1"/>
    <col min="10502" max="10502" width="6.54296875" style="1" customWidth="1"/>
    <col min="10503" max="10504" width="12.7265625" style="1" customWidth="1"/>
    <col min="10505" max="10505" width="2.7265625" style="1" customWidth="1"/>
    <col min="10506" max="10506" width="9.1796875" style="1"/>
    <col min="10507" max="10507" width="9.453125" style="1" bestFit="1" customWidth="1"/>
    <col min="10508" max="10752" width="9.1796875" style="1"/>
    <col min="10753" max="10753" width="2.7265625" style="1" customWidth="1"/>
    <col min="10754" max="10754" width="4.54296875" style="1" customWidth="1"/>
    <col min="10755" max="10755" width="3.26953125" style="1" customWidth="1"/>
    <col min="10756" max="10756" width="50.7265625" style="1" customWidth="1"/>
    <col min="10757" max="10757" width="6.26953125" style="1" customWidth="1"/>
    <col min="10758" max="10758" width="6.54296875" style="1" customWidth="1"/>
    <col min="10759" max="10760" width="12.7265625" style="1" customWidth="1"/>
    <col min="10761" max="10761" width="2.7265625" style="1" customWidth="1"/>
    <col min="10762" max="10762" width="9.1796875" style="1"/>
    <col min="10763" max="10763" width="9.453125" style="1" bestFit="1" customWidth="1"/>
    <col min="10764" max="11008" width="9.1796875" style="1"/>
    <col min="11009" max="11009" width="2.7265625" style="1" customWidth="1"/>
    <col min="11010" max="11010" width="4.54296875" style="1" customWidth="1"/>
    <col min="11011" max="11011" width="3.26953125" style="1" customWidth="1"/>
    <col min="11012" max="11012" width="50.7265625" style="1" customWidth="1"/>
    <col min="11013" max="11013" width="6.26953125" style="1" customWidth="1"/>
    <col min="11014" max="11014" width="6.54296875" style="1" customWidth="1"/>
    <col min="11015" max="11016" width="12.7265625" style="1" customWidth="1"/>
    <col min="11017" max="11017" width="2.7265625" style="1" customWidth="1"/>
    <col min="11018" max="11018" width="9.1796875" style="1"/>
    <col min="11019" max="11019" width="9.453125" style="1" bestFit="1" customWidth="1"/>
    <col min="11020" max="11264" width="9.1796875" style="1"/>
    <col min="11265" max="11265" width="2.7265625" style="1" customWidth="1"/>
    <col min="11266" max="11266" width="4.54296875" style="1" customWidth="1"/>
    <col min="11267" max="11267" width="3.26953125" style="1" customWidth="1"/>
    <col min="11268" max="11268" width="50.7265625" style="1" customWidth="1"/>
    <col min="11269" max="11269" width="6.26953125" style="1" customWidth="1"/>
    <col min="11270" max="11270" width="6.54296875" style="1" customWidth="1"/>
    <col min="11271" max="11272" width="12.7265625" style="1" customWidth="1"/>
    <col min="11273" max="11273" width="2.7265625" style="1" customWidth="1"/>
    <col min="11274" max="11274" width="9.1796875" style="1"/>
    <col min="11275" max="11275" width="9.453125" style="1" bestFit="1" customWidth="1"/>
    <col min="11276" max="11520" width="9.1796875" style="1"/>
    <col min="11521" max="11521" width="2.7265625" style="1" customWidth="1"/>
    <col min="11522" max="11522" width="4.54296875" style="1" customWidth="1"/>
    <col min="11523" max="11523" width="3.26953125" style="1" customWidth="1"/>
    <col min="11524" max="11524" width="50.7265625" style="1" customWidth="1"/>
    <col min="11525" max="11525" width="6.26953125" style="1" customWidth="1"/>
    <col min="11526" max="11526" width="6.54296875" style="1" customWidth="1"/>
    <col min="11527" max="11528" width="12.7265625" style="1" customWidth="1"/>
    <col min="11529" max="11529" width="2.7265625" style="1" customWidth="1"/>
    <col min="11530" max="11530" width="9.1796875" style="1"/>
    <col min="11531" max="11531" width="9.453125" style="1" bestFit="1" customWidth="1"/>
    <col min="11532" max="11776" width="9.1796875" style="1"/>
    <col min="11777" max="11777" width="2.7265625" style="1" customWidth="1"/>
    <col min="11778" max="11778" width="4.54296875" style="1" customWidth="1"/>
    <col min="11779" max="11779" width="3.26953125" style="1" customWidth="1"/>
    <col min="11780" max="11780" width="50.7265625" style="1" customWidth="1"/>
    <col min="11781" max="11781" width="6.26953125" style="1" customWidth="1"/>
    <col min="11782" max="11782" width="6.54296875" style="1" customWidth="1"/>
    <col min="11783" max="11784" width="12.7265625" style="1" customWidth="1"/>
    <col min="11785" max="11785" width="2.7265625" style="1" customWidth="1"/>
    <col min="11786" max="11786" width="9.1796875" style="1"/>
    <col min="11787" max="11787" width="9.453125" style="1" bestFit="1" customWidth="1"/>
    <col min="11788" max="12032" width="9.1796875" style="1"/>
    <col min="12033" max="12033" width="2.7265625" style="1" customWidth="1"/>
    <col min="12034" max="12034" width="4.54296875" style="1" customWidth="1"/>
    <col min="12035" max="12035" width="3.26953125" style="1" customWidth="1"/>
    <col min="12036" max="12036" width="50.7265625" style="1" customWidth="1"/>
    <col min="12037" max="12037" width="6.26953125" style="1" customWidth="1"/>
    <col min="12038" max="12038" width="6.54296875" style="1" customWidth="1"/>
    <col min="12039" max="12040" width="12.7265625" style="1" customWidth="1"/>
    <col min="12041" max="12041" width="2.7265625" style="1" customWidth="1"/>
    <col min="12042" max="12042" width="9.1796875" style="1"/>
    <col min="12043" max="12043" width="9.453125" style="1" bestFit="1" customWidth="1"/>
    <col min="12044" max="12288" width="9.1796875" style="1"/>
    <col min="12289" max="12289" width="2.7265625" style="1" customWidth="1"/>
    <col min="12290" max="12290" width="4.54296875" style="1" customWidth="1"/>
    <col min="12291" max="12291" width="3.26953125" style="1" customWidth="1"/>
    <col min="12292" max="12292" width="50.7265625" style="1" customWidth="1"/>
    <col min="12293" max="12293" width="6.26953125" style="1" customWidth="1"/>
    <col min="12294" max="12294" width="6.54296875" style="1" customWidth="1"/>
    <col min="12295" max="12296" width="12.7265625" style="1" customWidth="1"/>
    <col min="12297" max="12297" width="2.7265625" style="1" customWidth="1"/>
    <col min="12298" max="12298" width="9.1796875" style="1"/>
    <col min="12299" max="12299" width="9.453125" style="1" bestFit="1" customWidth="1"/>
    <col min="12300" max="12544" width="9.1796875" style="1"/>
    <col min="12545" max="12545" width="2.7265625" style="1" customWidth="1"/>
    <col min="12546" max="12546" width="4.54296875" style="1" customWidth="1"/>
    <col min="12547" max="12547" width="3.26953125" style="1" customWidth="1"/>
    <col min="12548" max="12548" width="50.7265625" style="1" customWidth="1"/>
    <col min="12549" max="12549" width="6.26953125" style="1" customWidth="1"/>
    <col min="12550" max="12550" width="6.54296875" style="1" customWidth="1"/>
    <col min="12551" max="12552" width="12.7265625" style="1" customWidth="1"/>
    <col min="12553" max="12553" width="2.7265625" style="1" customWidth="1"/>
    <col min="12554" max="12554" width="9.1796875" style="1"/>
    <col min="12555" max="12555" width="9.453125" style="1" bestFit="1" customWidth="1"/>
    <col min="12556" max="12800" width="9.1796875" style="1"/>
    <col min="12801" max="12801" width="2.7265625" style="1" customWidth="1"/>
    <col min="12802" max="12802" width="4.54296875" style="1" customWidth="1"/>
    <col min="12803" max="12803" width="3.26953125" style="1" customWidth="1"/>
    <col min="12804" max="12804" width="50.7265625" style="1" customWidth="1"/>
    <col min="12805" max="12805" width="6.26953125" style="1" customWidth="1"/>
    <col min="12806" max="12806" width="6.54296875" style="1" customWidth="1"/>
    <col min="12807" max="12808" width="12.7265625" style="1" customWidth="1"/>
    <col min="12809" max="12809" width="2.7265625" style="1" customWidth="1"/>
    <col min="12810" max="12810" width="9.1796875" style="1"/>
    <col min="12811" max="12811" width="9.453125" style="1" bestFit="1" customWidth="1"/>
    <col min="12812" max="13056" width="9.1796875" style="1"/>
    <col min="13057" max="13057" width="2.7265625" style="1" customWidth="1"/>
    <col min="13058" max="13058" width="4.54296875" style="1" customWidth="1"/>
    <col min="13059" max="13059" width="3.26953125" style="1" customWidth="1"/>
    <col min="13060" max="13060" width="50.7265625" style="1" customWidth="1"/>
    <col min="13061" max="13061" width="6.26953125" style="1" customWidth="1"/>
    <col min="13062" max="13062" width="6.54296875" style="1" customWidth="1"/>
    <col min="13063" max="13064" width="12.7265625" style="1" customWidth="1"/>
    <col min="13065" max="13065" width="2.7265625" style="1" customWidth="1"/>
    <col min="13066" max="13066" width="9.1796875" style="1"/>
    <col min="13067" max="13067" width="9.453125" style="1" bestFit="1" customWidth="1"/>
    <col min="13068" max="13312" width="9.1796875" style="1"/>
    <col min="13313" max="13313" width="2.7265625" style="1" customWidth="1"/>
    <col min="13314" max="13314" width="4.54296875" style="1" customWidth="1"/>
    <col min="13315" max="13315" width="3.26953125" style="1" customWidth="1"/>
    <col min="13316" max="13316" width="50.7265625" style="1" customWidth="1"/>
    <col min="13317" max="13317" width="6.26953125" style="1" customWidth="1"/>
    <col min="13318" max="13318" width="6.54296875" style="1" customWidth="1"/>
    <col min="13319" max="13320" width="12.7265625" style="1" customWidth="1"/>
    <col min="13321" max="13321" width="2.7265625" style="1" customWidth="1"/>
    <col min="13322" max="13322" width="9.1796875" style="1"/>
    <col min="13323" max="13323" width="9.453125" style="1" bestFit="1" customWidth="1"/>
    <col min="13324" max="13568" width="9.1796875" style="1"/>
    <col min="13569" max="13569" width="2.7265625" style="1" customWidth="1"/>
    <col min="13570" max="13570" width="4.54296875" style="1" customWidth="1"/>
    <col min="13571" max="13571" width="3.26953125" style="1" customWidth="1"/>
    <col min="13572" max="13572" width="50.7265625" style="1" customWidth="1"/>
    <col min="13573" max="13573" width="6.26953125" style="1" customWidth="1"/>
    <col min="13574" max="13574" width="6.54296875" style="1" customWidth="1"/>
    <col min="13575" max="13576" width="12.7265625" style="1" customWidth="1"/>
    <col min="13577" max="13577" width="2.7265625" style="1" customWidth="1"/>
    <col min="13578" max="13578" width="9.1796875" style="1"/>
    <col min="13579" max="13579" width="9.453125" style="1" bestFit="1" customWidth="1"/>
    <col min="13580" max="13824" width="9.1796875" style="1"/>
    <col min="13825" max="13825" width="2.7265625" style="1" customWidth="1"/>
    <col min="13826" max="13826" width="4.54296875" style="1" customWidth="1"/>
    <col min="13827" max="13827" width="3.26953125" style="1" customWidth="1"/>
    <col min="13828" max="13828" width="50.7265625" style="1" customWidth="1"/>
    <col min="13829" max="13829" width="6.26953125" style="1" customWidth="1"/>
    <col min="13830" max="13830" width="6.54296875" style="1" customWidth="1"/>
    <col min="13831" max="13832" width="12.7265625" style="1" customWidth="1"/>
    <col min="13833" max="13833" width="2.7265625" style="1" customWidth="1"/>
    <col min="13834" max="13834" width="9.1796875" style="1"/>
    <col min="13835" max="13835" width="9.453125" style="1" bestFit="1" customWidth="1"/>
    <col min="13836" max="14080" width="9.1796875" style="1"/>
    <col min="14081" max="14081" width="2.7265625" style="1" customWidth="1"/>
    <col min="14082" max="14082" width="4.54296875" style="1" customWidth="1"/>
    <col min="14083" max="14083" width="3.26953125" style="1" customWidth="1"/>
    <col min="14084" max="14084" width="50.7265625" style="1" customWidth="1"/>
    <col min="14085" max="14085" width="6.26953125" style="1" customWidth="1"/>
    <col min="14086" max="14086" width="6.54296875" style="1" customWidth="1"/>
    <col min="14087" max="14088" width="12.7265625" style="1" customWidth="1"/>
    <col min="14089" max="14089" width="2.7265625" style="1" customWidth="1"/>
    <col min="14090" max="14090" width="9.1796875" style="1"/>
    <col min="14091" max="14091" width="9.453125" style="1" bestFit="1" customWidth="1"/>
    <col min="14092" max="14336" width="9.1796875" style="1"/>
    <col min="14337" max="14337" width="2.7265625" style="1" customWidth="1"/>
    <col min="14338" max="14338" width="4.54296875" style="1" customWidth="1"/>
    <col min="14339" max="14339" width="3.26953125" style="1" customWidth="1"/>
    <col min="14340" max="14340" width="50.7265625" style="1" customWidth="1"/>
    <col min="14341" max="14341" width="6.26953125" style="1" customWidth="1"/>
    <col min="14342" max="14342" width="6.54296875" style="1" customWidth="1"/>
    <col min="14343" max="14344" width="12.7265625" style="1" customWidth="1"/>
    <col min="14345" max="14345" width="2.7265625" style="1" customWidth="1"/>
    <col min="14346" max="14346" width="9.1796875" style="1"/>
    <col min="14347" max="14347" width="9.453125" style="1" bestFit="1" customWidth="1"/>
    <col min="14348" max="14592" width="9.1796875" style="1"/>
    <col min="14593" max="14593" width="2.7265625" style="1" customWidth="1"/>
    <col min="14594" max="14594" width="4.54296875" style="1" customWidth="1"/>
    <col min="14595" max="14595" width="3.26953125" style="1" customWidth="1"/>
    <col min="14596" max="14596" width="50.7265625" style="1" customWidth="1"/>
    <col min="14597" max="14597" width="6.26953125" style="1" customWidth="1"/>
    <col min="14598" max="14598" width="6.54296875" style="1" customWidth="1"/>
    <col min="14599" max="14600" width="12.7265625" style="1" customWidth="1"/>
    <col min="14601" max="14601" width="2.7265625" style="1" customWidth="1"/>
    <col min="14602" max="14602" width="9.1796875" style="1"/>
    <col min="14603" max="14603" width="9.453125" style="1" bestFit="1" customWidth="1"/>
    <col min="14604" max="14848" width="9.1796875" style="1"/>
    <col min="14849" max="14849" width="2.7265625" style="1" customWidth="1"/>
    <col min="14850" max="14850" width="4.54296875" style="1" customWidth="1"/>
    <col min="14851" max="14851" width="3.26953125" style="1" customWidth="1"/>
    <col min="14852" max="14852" width="50.7265625" style="1" customWidth="1"/>
    <col min="14853" max="14853" width="6.26953125" style="1" customWidth="1"/>
    <col min="14854" max="14854" width="6.54296875" style="1" customWidth="1"/>
    <col min="14855" max="14856" width="12.7265625" style="1" customWidth="1"/>
    <col min="14857" max="14857" width="2.7265625" style="1" customWidth="1"/>
    <col min="14858" max="14858" width="9.1796875" style="1"/>
    <col min="14859" max="14859" width="9.453125" style="1" bestFit="1" customWidth="1"/>
    <col min="14860" max="15104" width="9.1796875" style="1"/>
    <col min="15105" max="15105" width="2.7265625" style="1" customWidth="1"/>
    <col min="15106" max="15106" width="4.54296875" style="1" customWidth="1"/>
    <col min="15107" max="15107" width="3.26953125" style="1" customWidth="1"/>
    <col min="15108" max="15108" width="50.7265625" style="1" customWidth="1"/>
    <col min="15109" max="15109" width="6.26953125" style="1" customWidth="1"/>
    <col min="15110" max="15110" width="6.54296875" style="1" customWidth="1"/>
    <col min="15111" max="15112" width="12.7265625" style="1" customWidth="1"/>
    <col min="15113" max="15113" width="2.7265625" style="1" customWidth="1"/>
    <col min="15114" max="15114" width="9.1796875" style="1"/>
    <col min="15115" max="15115" width="9.453125" style="1" bestFit="1" customWidth="1"/>
    <col min="15116" max="15360" width="9.1796875" style="1"/>
    <col min="15361" max="15361" width="2.7265625" style="1" customWidth="1"/>
    <col min="15362" max="15362" width="4.54296875" style="1" customWidth="1"/>
    <col min="15363" max="15363" width="3.26953125" style="1" customWidth="1"/>
    <col min="15364" max="15364" width="50.7265625" style="1" customWidth="1"/>
    <col min="15365" max="15365" width="6.26953125" style="1" customWidth="1"/>
    <col min="15366" max="15366" width="6.54296875" style="1" customWidth="1"/>
    <col min="15367" max="15368" width="12.7265625" style="1" customWidth="1"/>
    <col min="15369" max="15369" width="2.7265625" style="1" customWidth="1"/>
    <col min="15370" max="15370" width="9.1796875" style="1"/>
    <col min="15371" max="15371" width="9.453125" style="1" bestFit="1" customWidth="1"/>
    <col min="15372" max="15616" width="9.1796875" style="1"/>
    <col min="15617" max="15617" width="2.7265625" style="1" customWidth="1"/>
    <col min="15618" max="15618" width="4.54296875" style="1" customWidth="1"/>
    <col min="15619" max="15619" width="3.26953125" style="1" customWidth="1"/>
    <col min="15620" max="15620" width="50.7265625" style="1" customWidth="1"/>
    <col min="15621" max="15621" width="6.26953125" style="1" customWidth="1"/>
    <col min="15622" max="15622" width="6.54296875" style="1" customWidth="1"/>
    <col min="15623" max="15624" width="12.7265625" style="1" customWidth="1"/>
    <col min="15625" max="15625" width="2.7265625" style="1" customWidth="1"/>
    <col min="15626" max="15626" width="9.1796875" style="1"/>
    <col min="15627" max="15627" width="9.453125" style="1" bestFit="1" customWidth="1"/>
    <col min="15628" max="15872" width="9.1796875" style="1"/>
    <col min="15873" max="15873" width="2.7265625" style="1" customWidth="1"/>
    <col min="15874" max="15874" width="4.54296875" style="1" customWidth="1"/>
    <col min="15875" max="15875" width="3.26953125" style="1" customWidth="1"/>
    <col min="15876" max="15876" width="50.7265625" style="1" customWidth="1"/>
    <col min="15877" max="15877" width="6.26953125" style="1" customWidth="1"/>
    <col min="15878" max="15878" width="6.54296875" style="1" customWidth="1"/>
    <col min="15879" max="15880" width="12.7265625" style="1" customWidth="1"/>
    <col min="15881" max="15881" width="2.7265625" style="1" customWidth="1"/>
    <col min="15882" max="15882" width="9.1796875" style="1"/>
    <col min="15883" max="15883" width="9.453125" style="1" bestFit="1" customWidth="1"/>
    <col min="15884" max="16128" width="9.1796875" style="1"/>
    <col min="16129" max="16129" width="2.7265625" style="1" customWidth="1"/>
    <col min="16130" max="16130" width="4.54296875" style="1" customWidth="1"/>
    <col min="16131" max="16131" width="3.26953125" style="1" customWidth="1"/>
    <col min="16132" max="16132" width="50.7265625" style="1" customWidth="1"/>
    <col min="16133" max="16133" width="6.26953125" style="1" customWidth="1"/>
    <col min="16134" max="16134" width="6.54296875" style="1" customWidth="1"/>
    <col min="16135" max="16136" width="12.7265625" style="1" customWidth="1"/>
    <col min="16137" max="16137" width="2.7265625" style="1" customWidth="1"/>
    <col min="16138" max="16138" width="9.1796875" style="1"/>
    <col min="16139" max="16139" width="9.453125" style="1" bestFit="1" customWidth="1"/>
    <col min="16140" max="16384" width="9.1796875" style="1"/>
  </cols>
  <sheetData>
    <row r="1" spans="1:11" ht="15" customHeight="1" x14ac:dyDescent="0.35">
      <c r="A1" s="92" t="str">
        <f>'9-2 Pur Jrnl'!A1</f>
        <v xml:space="preserve">work together 9-2 thru 9-5 </v>
      </c>
      <c r="B1" s="2"/>
      <c r="C1" s="2"/>
      <c r="D1" s="2"/>
      <c r="E1" s="3" t="s">
        <v>9</v>
      </c>
      <c r="F1" s="168" t="s">
        <v>73</v>
      </c>
      <c r="G1" s="137"/>
      <c r="H1" s="2"/>
      <c r="I1" s="2"/>
    </row>
    <row r="2" spans="1:11" ht="15" customHeight="1" x14ac:dyDescent="0.35">
      <c r="A2" s="15" t="s">
        <v>51</v>
      </c>
      <c r="B2" s="2"/>
      <c r="C2" s="2"/>
      <c r="D2" s="2"/>
      <c r="E2" s="2"/>
      <c r="F2" s="2"/>
      <c r="G2" s="2"/>
      <c r="H2" s="2"/>
      <c r="I2" s="2"/>
    </row>
    <row r="3" spans="1:11" ht="15" customHeight="1" x14ac:dyDescent="0.35">
      <c r="A3" s="2"/>
      <c r="B3" s="2"/>
      <c r="C3" s="2"/>
      <c r="D3" s="2"/>
      <c r="E3" s="2"/>
      <c r="F3" s="2"/>
      <c r="G3" s="2"/>
      <c r="H3" s="2"/>
      <c r="I3" s="2"/>
    </row>
    <row r="4" spans="1:11" ht="15" customHeight="1" x14ac:dyDescent="0.35">
      <c r="A4" s="2"/>
      <c r="B4" s="2"/>
      <c r="C4" s="2"/>
      <c r="D4" s="160" t="s">
        <v>68</v>
      </c>
      <c r="E4" s="2"/>
      <c r="F4" s="2"/>
      <c r="G4" s="2"/>
      <c r="H4" s="2"/>
      <c r="I4" s="2"/>
    </row>
    <row r="5" spans="1:11" ht="15" customHeight="1" x14ac:dyDescent="0.35">
      <c r="A5" s="2"/>
      <c r="B5" s="2"/>
      <c r="C5" s="2"/>
      <c r="E5" s="2"/>
      <c r="F5" s="2"/>
      <c r="G5" s="2"/>
      <c r="H5" s="2"/>
      <c r="I5" s="2"/>
    </row>
    <row r="6" spans="1:11" ht="15.5" x14ac:dyDescent="0.35">
      <c r="A6" s="133" t="s">
        <v>52</v>
      </c>
      <c r="B6" s="134"/>
      <c r="C6" s="134"/>
      <c r="D6" s="134"/>
      <c r="E6" s="134"/>
      <c r="F6" s="134"/>
      <c r="G6" s="134"/>
      <c r="H6" s="134"/>
      <c r="I6" s="134"/>
      <c r="J6" s="134"/>
      <c r="K6" s="135"/>
    </row>
    <row r="7" spans="1:11" ht="15.5" x14ac:dyDescent="0.35">
      <c r="A7" s="136"/>
      <c r="B7" s="3" t="s">
        <v>53</v>
      </c>
      <c r="C7" s="137"/>
      <c r="D7" s="137" t="s">
        <v>69</v>
      </c>
      <c r="E7" s="2"/>
      <c r="F7" s="2"/>
      <c r="G7" s="2"/>
      <c r="H7" s="2" t="s">
        <v>54</v>
      </c>
      <c r="J7" s="137" t="s">
        <v>70</v>
      </c>
      <c r="K7" s="138"/>
    </row>
    <row r="8" spans="1:11" ht="15.5" x14ac:dyDescent="0.35">
      <c r="A8" s="136"/>
      <c r="B8" s="2"/>
      <c r="C8" s="2"/>
      <c r="D8" s="2"/>
      <c r="E8" s="2"/>
      <c r="F8" s="2"/>
      <c r="G8" s="2"/>
      <c r="H8" s="2"/>
      <c r="I8" s="2"/>
      <c r="J8" s="2"/>
      <c r="K8" s="139"/>
    </row>
    <row r="9" spans="1:11" ht="15.5" x14ac:dyDescent="0.35">
      <c r="A9" s="136"/>
      <c r="B9" s="2"/>
      <c r="C9" s="2"/>
      <c r="D9" s="2"/>
      <c r="E9" s="2"/>
      <c r="F9" s="2"/>
      <c r="G9" s="2"/>
      <c r="H9" s="2"/>
      <c r="I9" s="2"/>
      <c r="J9" s="2"/>
      <c r="K9" s="140" t="s">
        <v>55</v>
      </c>
    </row>
    <row r="10" spans="1:11" ht="15.5" x14ac:dyDescent="0.35">
      <c r="A10" s="141"/>
      <c r="B10" s="137"/>
      <c r="C10" s="137"/>
      <c r="D10" s="137" t="s">
        <v>56</v>
      </c>
      <c r="E10" s="137"/>
      <c r="F10" s="137"/>
      <c r="G10" s="137"/>
      <c r="H10" s="42" t="s">
        <v>57</v>
      </c>
      <c r="I10" s="137"/>
      <c r="J10" s="137"/>
      <c r="K10" s="142" t="s">
        <v>58</v>
      </c>
    </row>
    <row r="11" spans="1:11" ht="15.5" x14ac:dyDescent="0.35">
      <c r="A11" s="136" t="s">
        <v>59</v>
      </c>
      <c r="B11" s="2"/>
      <c r="C11" s="2"/>
      <c r="D11" s="2"/>
      <c r="E11" s="2"/>
      <c r="F11" s="2"/>
      <c r="G11" s="143"/>
      <c r="H11" s="144">
        <v>200</v>
      </c>
      <c r="I11" s="145"/>
      <c r="J11" s="143"/>
      <c r="K11" s="146"/>
    </row>
    <row r="12" spans="1:11" ht="15.5" x14ac:dyDescent="0.35">
      <c r="A12" s="136" t="s">
        <v>60</v>
      </c>
      <c r="B12" s="2"/>
      <c r="C12" s="2"/>
      <c r="D12" s="176" t="s">
        <v>36</v>
      </c>
      <c r="E12" s="176"/>
      <c r="F12" s="177"/>
      <c r="G12" s="147">
        <v>48.15</v>
      </c>
      <c r="H12" s="143"/>
      <c r="I12" s="143"/>
      <c r="J12" s="143"/>
      <c r="K12" s="146"/>
    </row>
    <row r="13" spans="1:11" ht="15.5" x14ac:dyDescent="0.35">
      <c r="A13" s="136"/>
      <c r="B13" s="2"/>
      <c r="C13" s="2"/>
      <c r="D13" s="178" t="s">
        <v>38</v>
      </c>
      <c r="E13" s="178"/>
      <c r="F13" s="179"/>
      <c r="G13" s="148">
        <v>57.18</v>
      </c>
      <c r="H13" s="143"/>
      <c r="I13" s="143"/>
      <c r="J13" s="143"/>
      <c r="K13" s="146"/>
    </row>
    <row r="14" spans="1:11" ht="15.5" x14ac:dyDescent="0.35">
      <c r="A14" s="136"/>
      <c r="B14" s="2"/>
      <c r="C14" s="2"/>
      <c r="D14" s="178" t="s">
        <v>71</v>
      </c>
      <c r="E14" s="178"/>
      <c r="F14" s="179"/>
      <c r="G14" s="148">
        <v>47.64</v>
      </c>
      <c r="H14" s="143"/>
      <c r="I14" s="143"/>
      <c r="J14" s="143"/>
      <c r="K14" s="146"/>
    </row>
    <row r="15" spans="1:11" ht="15.5" x14ac:dyDescent="0.35">
      <c r="A15" s="136"/>
      <c r="B15" s="2"/>
      <c r="C15" s="2"/>
      <c r="D15" s="180"/>
      <c r="E15" s="180"/>
      <c r="F15" s="180"/>
      <c r="G15" s="149"/>
      <c r="H15" s="143"/>
      <c r="I15" s="143"/>
      <c r="J15" s="143"/>
      <c r="K15" s="146"/>
    </row>
    <row r="16" spans="1:11" ht="15.5" x14ac:dyDescent="0.35">
      <c r="A16" s="136" t="s">
        <v>61</v>
      </c>
      <c r="B16" s="2"/>
      <c r="C16" s="2"/>
      <c r="D16" s="2" t="s">
        <v>62</v>
      </c>
      <c r="E16" s="2"/>
      <c r="F16" s="2"/>
      <c r="G16" s="143"/>
      <c r="H16" s="150">
        <f>SUM(G12:G15)</f>
        <v>152.97</v>
      </c>
      <c r="I16" s="151"/>
      <c r="J16" s="2"/>
      <c r="K16" s="152">
        <f>H16</f>
        <v>152.97</v>
      </c>
    </row>
    <row r="17" spans="1:11" ht="15.5" x14ac:dyDescent="0.35">
      <c r="A17" s="136" t="s">
        <v>63</v>
      </c>
      <c r="B17" s="2"/>
      <c r="C17" s="2"/>
      <c r="D17" s="2" t="s">
        <v>64</v>
      </c>
      <c r="E17" s="2"/>
      <c r="F17" s="2"/>
      <c r="G17" s="143"/>
      <c r="H17" s="150">
        <f>H11-H16</f>
        <v>47.03</v>
      </c>
      <c r="I17" s="153"/>
      <c r="J17" s="143"/>
      <c r="K17" s="146"/>
    </row>
    <row r="18" spans="1:11" ht="15.5" x14ac:dyDescent="0.35">
      <c r="A18" s="136" t="s">
        <v>61</v>
      </c>
      <c r="B18" s="2"/>
      <c r="C18" s="2"/>
      <c r="D18" s="2" t="s">
        <v>65</v>
      </c>
      <c r="E18" s="2"/>
      <c r="F18" s="2"/>
      <c r="G18" s="143"/>
      <c r="H18" s="154">
        <v>45.98</v>
      </c>
      <c r="I18" s="153"/>
      <c r="J18" s="143"/>
      <c r="K18" s="146"/>
    </row>
    <row r="19" spans="1:11" ht="16" thickBot="1" x14ac:dyDescent="0.4">
      <c r="A19" s="136" t="s">
        <v>63</v>
      </c>
      <c r="B19" s="2"/>
      <c r="C19" s="2"/>
      <c r="D19" s="2" t="s">
        <v>66</v>
      </c>
      <c r="E19" s="2"/>
      <c r="F19" s="2"/>
      <c r="G19" s="143"/>
      <c r="H19" s="144">
        <f>H17-H18</f>
        <v>1.0500000000000043</v>
      </c>
      <c r="I19" s="151"/>
      <c r="J19" s="2"/>
      <c r="K19" s="155">
        <f>H19</f>
        <v>1.0500000000000043</v>
      </c>
    </row>
    <row r="20" spans="1:11" ht="15.5" x14ac:dyDescent="0.35">
      <c r="A20" s="156" t="s">
        <v>67</v>
      </c>
      <c r="B20" s="2"/>
      <c r="C20" s="2"/>
      <c r="D20" s="2"/>
      <c r="E20" s="2"/>
      <c r="F20" s="2"/>
      <c r="G20" s="143"/>
      <c r="H20" s="143"/>
      <c r="I20" s="143"/>
      <c r="J20" s="143"/>
      <c r="K20" s="152">
        <f>K19+K16</f>
        <v>154.02000000000001</v>
      </c>
    </row>
    <row r="21" spans="1:11" ht="6.75" customHeight="1" x14ac:dyDescent="0.25">
      <c r="A21" s="157"/>
      <c r="B21" s="158"/>
      <c r="C21" s="158"/>
      <c r="D21" s="158"/>
      <c r="E21" s="158"/>
      <c r="F21" s="158"/>
      <c r="G21" s="158"/>
      <c r="H21" s="158"/>
      <c r="I21" s="158"/>
      <c r="J21" s="158"/>
      <c r="K21" s="159"/>
    </row>
    <row r="22" spans="1:11" ht="6.75" customHeight="1" x14ac:dyDescent="0.25">
      <c r="B22" s="43"/>
      <c r="C22" s="43"/>
      <c r="D22" s="43"/>
      <c r="E22" s="43"/>
      <c r="F22" s="43"/>
      <c r="G22" s="43"/>
      <c r="H22" s="43"/>
      <c r="I22" s="43"/>
      <c r="J22" s="43"/>
      <c r="K22" s="43"/>
    </row>
    <row r="23" spans="1:11" ht="15" customHeight="1" x14ac:dyDescent="0.35">
      <c r="A23" s="2"/>
      <c r="B23" s="2"/>
      <c r="C23" s="2"/>
      <c r="D23" s="2"/>
      <c r="E23" s="2"/>
      <c r="F23" s="2"/>
      <c r="G23" s="2"/>
      <c r="H23" s="2"/>
      <c r="I23" s="2"/>
    </row>
  </sheetData>
  <sheetProtection selectLockedCells="1"/>
  <mergeCells count="4">
    <mergeCell ref="D12:F12"/>
    <mergeCell ref="D13:F13"/>
    <mergeCell ref="D14:F14"/>
    <mergeCell ref="D15:F15"/>
  </mergeCells>
  <printOptions horizontalCentered="1"/>
  <pageMargins left="0.25" right="0.25" top="0.5" bottom="0.5" header="0.5" footer="0.5"/>
  <pageSetup scale="80" orientation="portrait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L24"/>
  <sheetViews>
    <sheetView topLeftCell="A5" zoomScaleNormal="100" workbookViewId="0">
      <selection activeCell="K9" sqref="K9"/>
    </sheetView>
  </sheetViews>
  <sheetFormatPr defaultColWidth="9.1796875" defaultRowHeight="10" x14ac:dyDescent="0.2"/>
  <cols>
    <col min="1" max="1" width="2.7265625" style="1" customWidth="1"/>
    <col min="2" max="2" width="4.54296875" style="1" customWidth="1"/>
    <col min="3" max="3" width="4.453125" style="1" bestFit="1" customWidth="1"/>
    <col min="4" max="4" width="40.7265625" style="1" customWidth="1"/>
    <col min="5" max="5" width="6.26953125" style="1" customWidth="1"/>
    <col min="6" max="6" width="6.54296875" style="1" customWidth="1"/>
    <col min="7" max="7" width="13" style="1" bestFit="1" customWidth="1"/>
    <col min="8" max="8" width="13.26953125" style="1" bestFit="1" customWidth="1"/>
    <col min="9" max="9" width="13" style="1" bestFit="1" customWidth="1"/>
    <col min="10" max="10" width="10.7265625" style="1" customWidth="1"/>
    <col min="11" max="11" width="13" style="1" bestFit="1" customWidth="1"/>
    <col min="12" max="12" width="2.7265625" style="1" customWidth="1"/>
    <col min="13" max="16384" width="9.1796875" style="1"/>
  </cols>
  <sheetData>
    <row r="1" spans="1:12" ht="15" customHeight="1" x14ac:dyDescent="0.35">
      <c r="A1" s="92" t="str">
        <f>'9-2 Pur Jrnl'!A1</f>
        <v xml:space="preserve">work together 9-2 thru 9-5 </v>
      </c>
      <c r="B1" s="2"/>
      <c r="C1" s="2"/>
      <c r="D1" s="2"/>
      <c r="E1" s="3" t="s">
        <v>9</v>
      </c>
      <c r="F1" s="168" t="s">
        <v>73</v>
      </c>
      <c r="G1" s="137"/>
      <c r="H1" s="2"/>
      <c r="I1" s="2"/>
    </row>
    <row r="2" spans="1:12" ht="15" customHeight="1" x14ac:dyDescent="0.35">
      <c r="A2" s="15" t="s">
        <v>51</v>
      </c>
      <c r="B2" s="2"/>
      <c r="C2" s="2"/>
      <c r="D2" s="2"/>
      <c r="E2" s="2"/>
      <c r="F2" s="2"/>
      <c r="G2" s="2"/>
      <c r="H2" s="2"/>
      <c r="I2" s="2"/>
    </row>
    <row r="5" spans="1:12" s="43" customFormat="1" ht="15.5" x14ac:dyDescent="0.35">
      <c r="A5" s="132"/>
      <c r="B5" s="132"/>
      <c r="C5" s="132"/>
      <c r="D5" s="132"/>
      <c r="E5" s="132" t="s">
        <v>23</v>
      </c>
      <c r="F5" s="132"/>
      <c r="G5" s="132"/>
      <c r="H5" s="132"/>
      <c r="I5" s="132"/>
      <c r="J5" s="132" t="s">
        <v>14</v>
      </c>
      <c r="K5" s="132">
        <v>10</v>
      </c>
      <c r="L5" s="132"/>
    </row>
    <row r="6" spans="1:12" s="46" customFormat="1" ht="8.5" thickBot="1" x14ac:dyDescent="0.25">
      <c r="A6" s="44"/>
      <c r="B6" s="44"/>
      <c r="C6" s="44"/>
      <c r="D6" s="44"/>
      <c r="E6" s="44"/>
      <c r="F6" s="44"/>
      <c r="G6" s="45">
        <v>1</v>
      </c>
      <c r="H6" s="45">
        <v>2</v>
      </c>
      <c r="I6" s="45">
        <v>3</v>
      </c>
      <c r="J6" s="45">
        <v>4</v>
      </c>
      <c r="K6" s="45">
        <v>5</v>
      </c>
      <c r="L6" s="44"/>
    </row>
    <row r="7" spans="1:12" ht="13" customHeight="1" thickTop="1" x14ac:dyDescent="0.25">
      <c r="A7" s="77"/>
      <c r="B7" s="78"/>
      <c r="C7" s="79"/>
      <c r="D7" s="71"/>
      <c r="E7" s="71"/>
      <c r="F7" s="71"/>
      <c r="G7" s="80"/>
      <c r="H7" s="80"/>
      <c r="I7" s="71" t="s">
        <v>24</v>
      </c>
      <c r="J7" s="81" t="s">
        <v>25</v>
      </c>
      <c r="K7" s="70"/>
      <c r="L7" s="78"/>
    </row>
    <row r="8" spans="1:12" ht="13" customHeight="1" x14ac:dyDescent="0.25">
      <c r="A8" s="47"/>
      <c r="B8" s="48"/>
      <c r="C8" s="49"/>
      <c r="D8" s="50"/>
      <c r="E8" s="50" t="s">
        <v>26</v>
      </c>
      <c r="F8" s="50" t="s">
        <v>2</v>
      </c>
      <c r="G8" s="51" t="s">
        <v>15</v>
      </c>
      <c r="H8" s="52"/>
      <c r="I8" s="50" t="s">
        <v>27</v>
      </c>
      <c r="J8" s="82" t="s">
        <v>28</v>
      </c>
      <c r="K8" s="70" t="s">
        <v>29</v>
      </c>
      <c r="L8" s="48"/>
    </row>
    <row r="9" spans="1:12" ht="13" customHeight="1" thickBot="1" x14ac:dyDescent="0.3">
      <c r="A9" s="53"/>
      <c r="B9" s="54" t="s">
        <v>4</v>
      </c>
      <c r="C9" s="55"/>
      <c r="D9" s="56" t="s">
        <v>16</v>
      </c>
      <c r="E9" s="56" t="s">
        <v>17</v>
      </c>
      <c r="F9" s="56" t="s">
        <v>6</v>
      </c>
      <c r="G9" s="57" t="s">
        <v>7</v>
      </c>
      <c r="H9" s="83" t="s">
        <v>3</v>
      </c>
      <c r="I9" s="56" t="s">
        <v>7</v>
      </c>
      <c r="J9" s="84" t="s">
        <v>3</v>
      </c>
      <c r="K9" s="83" t="s">
        <v>3</v>
      </c>
      <c r="L9" s="58"/>
    </row>
    <row r="10" spans="1:12" ht="9" customHeight="1" thickTop="1" x14ac:dyDescent="0.25">
      <c r="A10" s="47"/>
      <c r="B10" s="69"/>
      <c r="C10" s="70"/>
      <c r="D10" s="50"/>
      <c r="E10" s="50"/>
      <c r="F10" s="50"/>
      <c r="G10" s="50"/>
      <c r="H10" s="70"/>
      <c r="I10" s="50"/>
      <c r="J10" s="82"/>
      <c r="K10" s="70"/>
      <c r="L10" s="48"/>
    </row>
    <row r="11" spans="1:12" ht="16" customHeight="1" x14ac:dyDescent="0.35">
      <c r="A11" s="59">
        <v>1</v>
      </c>
      <c r="B11" s="138" t="s">
        <v>10</v>
      </c>
      <c r="C11" s="33">
        <v>2</v>
      </c>
      <c r="D11" s="167" t="s">
        <v>34</v>
      </c>
      <c r="E11" s="167" t="s">
        <v>81</v>
      </c>
      <c r="F11" s="97">
        <v>6170</v>
      </c>
      <c r="G11" s="34">
        <v>124</v>
      </c>
      <c r="H11" s="34"/>
      <c r="I11" s="34"/>
      <c r="J11" s="34"/>
      <c r="K11" s="85">
        <v>124</v>
      </c>
      <c r="L11" s="60">
        <v>1</v>
      </c>
    </row>
    <row r="12" spans="1:12" ht="16" customHeight="1" x14ac:dyDescent="0.35">
      <c r="A12" s="61">
        <v>2</v>
      </c>
      <c r="B12" s="36"/>
      <c r="C12" s="37">
        <v>3</v>
      </c>
      <c r="D12" s="165" t="s">
        <v>82</v>
      </c>
      <c r="E12" s="165" t="s">
        <v>83</v>
      </c>
      <c r="F12" s="15">
        <v>220</v>
      </c>
      <c r="G12" s="38"/>
      <c r="H12" s="38"/>
      <c r="I12" s="38">
        <v>1640</v>
      </c>
      <c r="J12" s="38">
        <v>32.799999999999997</v>
      </c>
      <c r="K12" s="86">
        <v>1607.2</v>
      </c>
      <c r="L12" s="62">
        <v>2</v>
      </c>
    </row>
    <row r="13" spans="1:12" ht="16" customHeight="1" x14ac:dyDescent="0.35">
      <c r="A13" s="59">
        <v>3</v>
      </c>
      <c r="B13" s="36"/>
      <c r="C13" s="37">
        <v>9</v>
      </c>
      <c r="D13" s="165" t="s">
        <v>84</v>
      </c>
      <c r="E13" s="165" t="s">
        <v>85</v>
      </c>
      <c r="F13" s="37">
        <v>5110</v>
      </c>
      <c r="G13" s="38">
        <v>1575</v>
      </c>
      <c r="H13" s="38"/>
      <c r="I13" s="38"/>
      <c r="J13" s="38"/>
      <c r="K13" s="86">
        <v>1575</v>
      </c>
      <c r="L13" s="60">
        <v>3</v>
      </c>
    </row>
    <row r="14" spans="1:12" ht="16" customHeight="1" x14ac:dyDescent="0.35">
      <c r="A14" s="61">
        <v>4</v>
      </c>
      <c r="B14" s="36"/>
      <c r="C14" s="37">
        <v>12</v>
      </c>
      <c r="D14" s="165" t="s">
        <v>36</v>
      </c>
      <c r="E14" s="165" t="s">
        <v>86</v>
      </c>
      <c r="F14" s="97">
        <v>1145</v>
      </c>
      <c r="G14" s="38">
        <v>64</v>
      </c>
      <c r="H14" s="38"/>
      <c r="I14" s="38"/>
      <c r="J14" s="38"/>
      <c r="K14" s="86">
        <v>64</v>
      </c>
      <c r="L14" s="62">
        <v>4</v>
      </c>
    </row>
    <row r="15" spans="1:12" ht="16" customHeight="1" x14ac:dyDescent="0.35">
      <c r="A15" s="59">
        <v>5</v>
      </c>
      <c r="B15" s="36"/>
      <c r="C15" s="37">
        <v>16</v>
      </c>
      <c r="D15" s="165" t="s">
        <v>37</v>
      </c>
      <c r="E15" s="165" t="s">
        <v>87</v>
      </c>
      <c r="F15" s="37">
        <v>240</v>
      </c>
      <c r="G15" s="38"/>
      <c r="H15" s="38"/>
      <c r="I15" s="38">
        <v>426</v>
      </c>
      <c r="J15" s="38"/>
      <c r="K15" s="86">
        <v>426</v>
      </c>
      <c r="L15" s="60">
        <v>5</v>
      </c>
    </row>
    <row r="16" spans="1:12" ht="16" customHeight="1" x14ac:dyDescent="0.35">
      <c r="A16" s="61">
        <v>6</v>
      </c>
      <c r="B16" s="36"/>
      <c r="C16" s="37">
        <v>31</v>
      </c>
      <c r="D16" s="165" t="s">
        <v>36</v>
      </c>
      <c r="E16" s="165" t="s">
        <v>88</v>
      </c>
      <c r="F16" s="37">
        <v>1145</v>
      </c>
      <c r="G16" s="38">
        <v>48.15</v>
      </c>
      <c r="H16" s="38"/>
      <c r="I16" s="38"/>
      <c r="J16" s="38"/>
      <c r="K16" s="86">
        <v>154.02000000000001</v>
      </c>
      <c r="L16" s="62">
        <v>6</v>
      </c>
    </row>
    <row r="17" spans="1:12" ht="16" customHeight="1" x14ac:dyDescent="0.35">
      <c r="A17" s="59">
        <v>7</v>
      </c>
      <c r="B17" s="36"/>
      <c r="C17" s="37"/>
      <c r="D17" s="165" t="s">
        <v>38</v>
      </c>
      <c r="E17" s="37"/>
      <c r="F17" s="37">
        <v>1150</v>
      </c>
      <c r="G17" s="38">
        <v>57.18</v>
      </c>
      <c r="H17" s="38"/>
      <c r="I17" s="38"/>
      <c r="J17" s="38"/>
      <c r="K17" s="86"/>
      <c r="L17" s="60">
        <v>7</v>
      </c>
    </row>
    <row r="18" spans="1:12" ht="16" customHeight="1" x14ac:dyDescent="0.35">
      <c r="A18" s="61">
        <v>8</v>
      </c>
      <c r="B18" s="36"/>
      <c r="C18" s="37"/>
      <c r="D18" s="165" t="s">
        <v>39</v>
      </c>
      <c r="E18" s="37"/>
      <c r="F18" s="37">
        <v>6135</v>
      </c>
      <c r="G18" s="38">
        <v>47.64</v>
      </c>
      <c r="H18" s="170"/>
      <c r="I18" s="38"/>
      <c r="J18" s="38"/>
      <c r="K18" s="86"/>
      <c r="L18" s="62">
        <v>8</v>
      </c>
    </row>
    <row r="19" spans="1:12" ht="16" customHeight="1" thickBot="1" x14ac:dyDescent="0.4">
      <c r="A19" s="59">
        <v>9</v>
      </c>
      <c r="B19" s="36"/>
      <c r="C19" s="37"/>
      <c r="D19" s="165" t="s">
        <v>40</v>
      </c>
      <c r="E19" s="37"/>
      <c r="F19" s="37">
        <v>6110</v>
      </c>
      <c r="G19" s="38">
        <v>1.05</v>
      </c>
      <c r="H19" s="38"/>
      <c r="I19" s="38"/>
      <c r="J19" s="38"/>
      <c r="K19" s="86"/>
      <c r="L19" s="60">
        <v>9</v>
      </c>
    </row>
    <row r="20" spans="1:12" ht="16" customHeight="1" thickBot="1" x14ac:dyDescent="0.4">
      <c r="A20" s="61">
        <v>10</v>
      </c>
      <c r="B20" s="36"/>
      <c r="C20" s="33">
        <v>31</v>
      </c>
      <c r="D20" s="171" t="s">
        <v>79</v>
      </c>
      <c r="E20" s="33"/>
      <c r="F20" s="33"/>
      <c r="G20" s="169">
        <f>SUM(G11:G19)</f>
        <v>1917.0200000000002</v>
      </c>
      <c r="H20" s="169">
        <v>0</v>
      </c>
      <c r="I20" s="87">
        <f>SUM(I12:I19)</f>
        <v>2066</v>
      </c>
      <c r="J20" s="87">
        <f>SUM(J12:J19)</f>
        <v>32.799999999999997</v>
      </c>
      <c r="K20" s="87">
        <f>SUM(K11:K19)</f>
        <v>3950.22</v>
      </c>
      <c r="L20" s="62">
        <v>10</v>
      </c>
    </row>
    <row r="21" spans="1:12" ht="16" customHeight="1" thickTop="1" x14ac:dyDescent="0.35">
      <c r="A21" s="59">
        <v>11</v>
      </c>
      <c r="B21" s="32"/>
      <c r="C21" s="37"/>
      <c r="D21" s="37"/>
      <c r="E21" s="37"/>
      <c r="F21" s="37"/>
      <c r="G21" s="172" t="s">
        <v>89</v>
      </c>
      <c r="H21" s="172" t="s">
        <v>89</v>
      </c>
      <c r="I21" s="172" t="s">
        <v>90</v>
      </c>
      <c r="J21" s="172" t="s">
        <v>91</v>
      </c>
      <c r="K21" s="173" t="s">
        <v>92</v>
      </c>
      <c r="L21" s="60">
        <v>11</v>
      </c>
    </row>
    <row r="22" spans="1:12" ht="16" customHeight="1" x14ac:dyDescent="0.35">
      <c r="A22" s="61">
        <v>12</v>
      </c>
      <c r="B22" s="36"/>
      <c r="C22" s="37"/>
      <c r="D22" s="37"/>
      <c r="E22" s="37"/>
      <c r="F22" s="37"/>
      <c r="G22" s="34"/>
      <c r="H22" s="34"/>
      <c r="I22" s="34"/>
      <c r="J22" s="34"/>
      <c r="K22" s="85"/>
      <c r="L22" s="62">
        <v>12</v>
      </c>
    </row>
    <row r="23" spans="1:12" ht="12.5" x14ac:dyDescent="0.25">
      <c r="B23" s="43"/>
      <c r="C23" s="43"/>
      <c r="D23" s="43"/>
      <c r="E23" s="43"/>
      <c r="F23" s="43"/>
      <c r="G23" s="43"/>
      <c r="H23" s="43"/>
      <c r="I23" s="43"/>
      <c r="J23" s="43"/>
      <c r="K23" s="43"/>
    </row>
    <row r="24" spans="1:12" ht="12.5" x14ac:dyDescent="0.25">
      <c r="B24" s="43"/>
      <c r="C24" s="43"/>
      <c r="D24" s="43"/>
      <c r="E24" s="43"/>
      <c r="F24" s="43"/>
      <c r="G24" s="43"/>
      <c r="H24" s="43"/>
      <c r="I24" s="43"/>
      <c r="J24" s="43"/>
      <c r="K24" s="43"/>
    </row>
  </sheetData>
  <printOptions horizontalCentered="1" verticalCentered="1"/>
  <pageMargins left="0.25" right="0.25" top="0.5" bottom="0.5" header="0.5" footer="0.5"/>
  <pageSetup orientation="landscape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I16"/>
  <sheetViews>
    <sheetView zoomScaleNormal="100" workbookViewId="0">
      <selection activeCell="F15" sqref="F15"/>
    </sheetView>
  </sheetViews>
  <sheetFormatPr defaultRowHeight="12.5" x14ac:dyDescent="0.25"/>
  <cols>
    <col min="2" max="2" width="21.453125" customWidth="1"/>
    <col min="3" max="3" width="24.81640625" customWidth="1"/>
    <col min="4" max="4" width="21.453125" customWidth="1"/>
  </cols>
  <sheetData>
    <row r="1" spans="1:9" s="1" customFormat="1" ht="15" customHeight="1" x14ac:dyDescent="0.35">
      <c r="A1" s="92" t="str">
        <f>'9-2 Pur Jrnl'!A1</f>
        <v xml:space="preserve">work together 9-2 thru 9-5 </v>
      </c>
      <c r="B1" s="2"/>
      <c r="C1" s="3" t="s">
        <v>9</v>
      </c>
      <c r="D1" s="168" t="s">
        <v>73</v>
      </c>
      <c r="E1" s="2"/>
      <c r="H1" s="2"/>
      <c r="I1" s="2"/>
    </row>
    <row r="2" spans="1:9" s="1" customFormat="1" ht="15" customHeight="1" x14ac:dyDescent="0.35">
      <c r="A2" s="15" t="s">
        <v>51</v>
      </c>
      <c r="B2" s="2"/>
      <c r="C2" s="2"/>
      <c r="D2" s="2"/>
      <c r="E2" s="2"/>
      <c r="F2" s="2"/>
      <c r="G2" s="2"/>
      <c r="H2" s="2"/>
      <c r="I2" s="2"/>
    </row>
    <row r="6" spans="1:9" s="1" customFormat="1" ht="15.5" x14ac:dyDescent="0.35">
      <c r="B6" s="183" t="s">
        <v>98</v>
      </c>
      <c r="C6" s="183"/>
      <c r="D6" s="183"/>
    </row>
    <row r="7" spans="1:9" s="1" customFormat="1" ht="15.5" x14ac:dyDescent="0.35">
      <c r="B7" s="180" t="s">
        <v>93</v>
      </c>
      <c r="C7" s="180"/>
      <c r="D7" s="180"/>
    </row>
    <row r="8" spans="1:9" s="1" customFormat="1" ht="15.5" x14ac:dyDescent="0.35">
      <c r="B8" s="184">
        <v>45314</v>
      </c>
      <c r="C8" s="180"/>
      <c r="D8" s="180"/>
    </row>
    <row r="9" spans="1:9" s="1" customFormat="1" ht="9" customHeight="1" thickBot="1" x14ac:dyDescent="0.4">
      <c r="B9" s="2"/>
      <c r="C9" s="2"/>
      <c r="D9" s="2"/>
    </row>
    <row r="10" spans="1:9" s="1" customFormat="1" ht="16" thickTop="1" x14ac:dyDescent="0.35">
      <c r="B10" s="185" t="s">
        <v>42</v>
      </c>
      <c r="C10" s="186"/>
      <c r="D10" s="162">
        <v>2230.88</v>
      </c>
    </row>
    <row r="11" spans="1:9" s="1" customFormat="1" ht="15.5" x14ac:dyDescent="0.35">
      <c r="B11" s="181" t="s">
        <v>43</v>
      </c>
      <c r="C11" s="182"/>
      <c r="D11" s="161">
        <v>0</v>
      </c>
    </row>
    <row r="12" spans="1:9" s="1" customFormat="1" ht="15.5" x14ac:dyDescent="0.35">
      <c r="B12" s="181" t="s">
        <v>94</v>
      </c>
      <c r="C12" s="182"/>
      <c r="D12" s="161">
        <v>4177.6499999999996</v>
      </c>
    </row>
    <row r="13" spans="1:9" s="1" customFormat="1" ht="15.5" x14ac:dyDescent="0.35">
      <c r="B13" s="181" t="s">
        <v>95</v>
      </c>
      <c r="C13" s="182"/>
      <c r="D13" s="161">
        <v>566</v>
      </c>
    </row>
    <row r="14" spans="1:9" s="1" customFormat="1" ht="16" thickBot="1" x14ac:dyDescent="0.4">
      <c r="B14" s="181" t="s">
        <v>96</v>
      </c>
      <c r="C14" s="182"/>
      <c r="D14" s="174">
        <v>1743</v>
      </c>
    </row>
    <row r="15" spans="1:9" s="1" customFormat="1" ht="16" thickBot="1" x14ac:dyDescent="0.4">
      <c r="B15" s="181" t="s">
        <v>97</v>
      </c>
      <c r="C15" s="182"/>
      <c r="D15" s="175">
        <f>SUM(D10:D14)</f>
        <v>8717.5299999999988</v>
      </c>
    </row>
    <row r="16" spans="1:9" ht="13" thickTop="1" x14ac:dyDescent="0.25"/>
  </sheetData>
  <mergeCells count="9">
    <mergeCell ref="B13:C13"/>
    <mergeCell ref="B14:C14"/>
    <mergeCell ref="B15:C15"/>
    <mergeCell ref="B6:D6"/>
    <mergeCell ref="B7:D7"/>
    <mergeCell ref="B8:D8"/>
    <mergeCell ref="B10:C10"/>
    <mergeCell ref="B11:C11"/>
    <mergeCell ref="B12:C12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54BC88EE80B1C42A7F4DD2AC98F73EE" ma:contentTypeVersion="13" ma:contentTypeDescription="Create a new document." ma:contentTypeScope="" ma:versionID="7c82215578cefc90266eafb71e34eb74">
  <xsd:schema xmlns:xsd="http://www.w3.org/2001/XMLSchema" xmlns:xs="http://www.w3.org/2001/XMLSchema" xmlns:p="http://schemas.microsoft.com/office/2006/metadata/properties" xmlns:ns2="d758baea-510e-4597-bb40-a09e4fc0f415" xmlns:ns3="d5bf7610-0a90-45dc-b926-1b234e6c6756" targetNamespace="http://schemas.microsoft.com/office/2006/metadata/properties" ma:root="true" ma:fieldsID="0a3889d73aa85c0d03c3e4b2cab7b9ff" ns2:_="" ns3:_="">
    <xsd:import namespace="d758baea-510e-4597-bb40-a09e4fc0f415"/>
    <xsd:import namespace="d5bf7610-0a90-45dc-b926-1b234e6c6756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758baea-510e-4597-bb40-a09e4fc0f415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a0c8ac36-f17a-43f7-bf64-8887e67858c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bf7610-0a90-45dc-b926-1b234e6c675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2a2efad3-2896-4aea-8e7b-79600716adfd}" ma:internalName="TaxCatchAll" ma:showField="CatchAllData" ma:web="d5bf7610-0a90-45dc-b926-1b234e6c675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d758baea-510e-4597-bb40-a09e4fc0f415" xsi:nil="true"/>
    <TaxCatchAll xmlns="d5bf7610-0a90-45dc-b926-1b234e6c6756" xsi:nil="true"/>
    <lcf76f155ced4ddcb4097134ff3c332f xmlns="d758baea-510e-4597-bb40-a09e4fc0f415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AD08653-57F0-4AD7-8214-1D54041B7D7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758baea-510e-4597-bb40-a09e4fc0f415"/>
    <ds:schemaRef ds:uri="d5bf7610-0a90-45dc-b926-1b234e6c67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18F4F4E-7338-43AC-AFEF-7FBA20F612E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9DF21C3-FD83-4BD6-839E-CF618C5AA8AD}">
  <ds:schemaRefs>
    <ds:schemaRef ds:uri="http://www.w3.org/XML/1998/namespace"/>
    <ds:schemaRef ds:uri="http://schemas.microsoft.com/office/infopath/2007/PartnerControls"/>
    <ds:schemaRef ds:uri="http://purl.org/dc/elements/1.1/"/>
    <ds:schemaRef ds:uri="http://schemas.microsoft.com/office/2006/documentManagement/types"/>
    <ds:schemaRef ds:uri="d758baea-510e-4597-bb40-a09e4fc0f415"/>
    <ds:schemaRef ds:uri="http://schemas.microsoft.com/office/2006/metadata/properties"/>
    <ds:schemaRef ds:uri="http://purl.org/dc/dcmitype/"/>
    <ds:schemaRef ds:uri="http://purl.org/dc/terms/"/>
    <ds:schemaRef ds:uri="http://schemas.openxmlformats.org/package/2006/metadata/core-properties"/>
    <ds:schemaRef ds:uri="d5bf7610-0a90-45dc-b926-1b234e6c675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9-2 Pur Jrnl</vt:lpstr>
      <vt:lpstr>9-3 AP Sub Led</vt:lpstr>
      <vt:lpstr>9-3 Gen Led</vt:lpstr>
      <vt:lpstr>9-4 Pet Csh Rpt</vt:lpstr>
      <vt:lpstr>9-4 Csh Pmt Jrnl</vt:lpstr>
      <vt:lpstr>9-5 Sched of AP</vt:lpstr>
      <vt:lpstr>'9-3 Gen Led'!answer2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BILL</dc:creator>
  <cp:lastModifiedBy>PATIL, DHRUV</cp:lastModifiedBy>
  <cp:lastPrinted>2008-02-24T18:12:41Z</cp:lastPrinted>
  <dcterms:created xsi:type="dcterms:W3CDTF">2008-02-12T01:51:31Z</dcterms:created>
  <dcterms:modified xsi:type="dcterms:W3CDTF">2024-02-05T23:57:45Z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0x010100F54BC88EE80B1C42A7F4DD2AC98F73EE</vt:lpwstr>
  </property>
  <property fmtid="{D5CDD505-2E9C-101B-9397-08002B2CF9AE}" pid="3" name="Order">
    <vt:r8>14700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ComplianceAssetId">
    <vt:lpwstr/>
  </property>
  <property fmtid="{D5CDD505-2E9C-101B-9397-08002B2CF9AE}" pid="9" name="TemplateUrl">
    <vt:lpwstr/>
  </property>
</Properties>
</file>